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sdagcc-my.sharepoint.com/personal/logan_jamison_usda_gov/Documents/Documents/Misc Logan Stuff/MeltManuscript/DataScriptDump/"/>
    </mc:Choice>
  </mc:AlternateContent>
  <xr:revisionPtr revIDLastSave="0" documentId="13_ncr:1_{12E2F139-E4C1-2143-98CE-149594ED69BB}" xr6:coauthVersionLast="47" xr6:coauthVersionMax="47" xr10:uidLastSave="{00000000-0000-0000-0000-000000000000}"/>
  <bookViews>
    <workbookView xWindow="-135" yWindow="-135" windowWidth="29070" windowHeight="15750" activeTab="2" xr2:uid="{26F1B464-1A53-7844-9F61-D844BC2FF989}"/>
  </bookViews>
  <sheets>
    <sheet name="Summary" sheetId="5" r:id="rId1"/>
    <sheet name="Precip" sheetId="1" r:id="rId2"/>
    <sheet name="Precip-2023 (PRISM+SNOTEL)" sheetId="6" r:id="rId3"/>
    <sheet name="Air Temp" sheetId="2" r:id="rId4"/>
    <sheet name="Headwater Streamflow" sheetId="3" r:id="rId5"/>
    <sheet name="Baseflow " sheetId="4" r:id="rId6"/>
    <sheet name="SLC Data Most Recent 5yrs" sheetId="7" r:id="rId7"/>
  </sheets>
  <definedNames>
    <definedName name="_xlchart.v1.0" hidden="1">'Headwater Streamflow'!$B$6:$B$129</definedName>
    <definedName name="_xlchart.v1.1" hidden="1">'Headwater Streamflow'!$C$5:$C$67</definedName>
    <definedName name="_xlchart.v1.2" hidden="1">'Headwater Streamflow'!$C$68:$C$129</definedName>
    <definedName name="_xlchart.v1.3" hidden="1">'Headwater Streamflow'!$D$6:$D$129</definedName>
    <definedName name="_xlchart.v1.4" hidden="1">'Headwater Streamflow'!$E$6:$E$129</definedName>
    <definedName name="_xlchart.v1.5" hidden="1">'Headwater Streamflow'!$F$6:$F$129</definedName>
    <definedName name="_xlchart.v1.6" hidden="1">'Headwater Streamflow'!$G$6:$G$129</definedName>
    <definedName name="_xlchart.v1.7" hidden="1">'Headwater Streamflow'!$H$14:$H$129</definedName>
    <definedName name="_xlchart.v1.8" hidden="1">'Headwater Streamflow'!$H$6:$H$13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9" i="6" l="1"/>
  <c r="Y129" i="6" s="1"/>
  <c r="S129" i="6"/>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B6" i="3" l="1" a="1"/>
  <c r="AB6" i="3" s="1"/>
  <c r="AB7" i="3" a="1"/>
  <c r="AB7" i="3" s="1"/>
  <c r="AB8" i="3" a="1"/>
  <c r="AB8" i="3" s="1"/>
  <c r="AB9" i="3" a="1"/>
  <c r="AB9" i="3"/>
  <c r="AB10" i="3" a="1"/>
  <c r="AB10" i="3"/>
  <c r="AB11" i="3" a="1"/>
  <c r="AB11" i="3" s="1"/>
  <c r="AB12" i="3" a="1"/>
  <c r="AB12" i="3"/>
  <c r="AB13" i="3" a="1"/>
  <c r="AB13" i="3"/>
  <c r="AB14" i="3" a="1"/>
  <c r="AB14" i="3"/>
  <c r="AB15" i="3" a="1"/>
  <c r="AB15" i="3" s="1"/>
  <c r="AB16" i="3" a="1"/>
  <c r="AB16" i="3" s="1"/>
  <c r="AB17" i="3" a="1"/>
  <c r="AB17" i="3"/>
  <c r="AB18" i="3" a="1"/>
  <c r="AB18" i="3"/>
  <c r="AB19" i="3" a="1"/>
  <c r="AB19" i="3" s="1"/>
  <c r="AB20" i="3" a="1"/>
  <c r="AB20" i="3"/>
  <c r="AB21" i="3" a="1"/>
  <c r="AB21" i="3"/>
  <c r="AB22" i="3" a="1"/>
  <c r="AB22" i="3"/>
  <c r="AB23" i="3" a="1"/>
  <c r="AB23" i="3" s="1"/>
  <c r="AB24" i="3" a="1"/>
  <c r="AB24" i="3"/>
  <c r="AB25" i="3" a="1"/>
  <c r="AB25" i="3"/>
  <c r="AB26" i="3" a="1"/>
  <c r="AB26" i="3"/>
  <c r="AB27" i="3" a="1"/>
  <c r="AB27" i="3" s="1"/>
  <c r="AB28" i="3" a="1"/>
  <c r="AB28" i="3"/>
  <c r="AB29" i="3" a="1"/>
  <c r="AB29" i="3"/>
  <c r="AB30" i="3" a="1"/>
  <c r="AB30" i="3"/>
  <c r="AB31" i="3" a="1"/>
  <c r="AB31" i="3" s="1"/>
  <c r="AB32" i="3" a="1"/>
  <c r="AB32" i="3" s="1"/>
  <c r="AB33" i="3" a="1"/>
  <c r="AB33" i="3"/>
  <c r="AB34" i="3" a="1"/>
  <c r="AB34" i="3"/>
  <c r="AB35" i="3" a="1"/>
  <c r="AB35" i="3" s="1"/>
  <c r="AB36" i="3" a="1"/>
  <c r="AB36" i="3" s="1"/>
  <c r="AB37" i="3" a="1"/>
  <c r="AB37" i="3"/>
  <c r="AB38" i="3" a="1"/>
  <c r="AB38" i="3"/>
  <c r="AB39" i="3" a="1"/>
  <c r="AB39" i="3" s="1"/>
  <c r="AB40" i="3" a="1"/>
  <c r="AB40" i="3" s="1"/>
  <c r="AB41" i="3" a="1"/>
  <c r="AB41" i="3"/>
  <c r="AB42" i="3" a="1"/>
  <c r="AB42" i="3"/>
  <c r="AB43" i="3" a="1"/>
  <c r="AB43" i="3" s="1"/>
  <c r="AB44" i="3" a="1"/>
  <c r="AB44" i="3" s="1"/>
  <c r="AB45" i="3" a="1"/>
  <c r="AB45" i="3"/>
  <c r="AB46" i="3" a="1"/>
  <c r="AB46" i="3"/>
  <c r="AB47" i="3" a="1"/>
  <c r="AB47" i="3" s="1"/>
  <c r="AB48" i="3" a="1"/>
  <c r="AB48" i="3" s="1"/>
  <c r="AB49" i="3" a="1"/>
  <c r="AB49" i="3"/>
  <c r="AB50" i="3" a="1"/>
  <c r="AB50" i="3"/>
  <c r="AB51" i="3" a="1"/>
  <c r="AB51" i="3" s="1"/>
  <c r="AB52" i="3" a="1"/>
  <c r="AB52" i="3" s="1"/>
  <c r="AB53" i="3" a="1"/>
  <c r="AB53" i="3"/>
  <c r="AB54" i="3" a="1"/>
  <c r="AB54" i="3"/>
  <c r="AB55" i="3" a="1"/>
  <c r="AB55" i="3" s="1"/>
  <c r="AB56" i="3" a="1"/>
  <c r="AB56" i="3" s="1"/>
  <c r="AB57" i="3" a="1"/>
  <c r="AB57" i="3"/>
  <c r="AB58" i="3" a="1"/>
  <c r="AB58" i="3"/>
  <c r="AB59" i="3" a="1"/>
  <c r="AB59" i="3" s="1"/>
  <c r="AB60" i="3" a="1"/>
  <c r="AB60" i="3" s="1"/>
  <c r="AB61" i="3" a="1"/>
  <c r="AB61" i="3"/>
  <c r="AB62" i="3" a="1"/>
  <c r="AB62" i="3"/>
  <c r="AB63" i="3" a="1"/>
  <c r="AB63" i="3" s="1"/>
  <c r="AB64" i="3" a="1"/>
  <c r="AB64" i="3" s="1"/>
  <c r="AB65" i="3" a="1"/>
  <c r="AB65" i="3"/>
  <c r="AB66" i="3" a="1"/>
  <c r="AB66" i="3"/>
  <c r="AB67" i="3" a="1"/>
  <c r="AB67" i="3" s="1"/>
  <c r="AB68" i="3" a="1"/>
  <c r="AB68" i="3" s="1"/>
  <c r="AB69" i="3" a="1"/>
  <c r="AB69" i="3"/>
  <c r="AB70" i="3" a="1"/>
  <c r="AB70" i="3"/>
  <c r="AB71" i="3" a="1"/>
  <c r="AB71" i="3" s="1"/>
  <c r="AB72" i="3" a="1"/>
  <c r="AB72" i="3" s="1"/>
  <c r="AB73" i="3" a="1"/>
  <c r="AB73" i="3"/>
  <c r="AB74" i="3" a="1"/>
  <c r="AB74" i="3"/>
  <c r="AB75" i="3" a="1"/>
  <c r="AB75" i="3" s="1"/>
  <c r="AB76" i="3" a="1"/>
  <c r="AB76" i="3" s="1"/>
  <c r="AB77" i="3" a="1"/>
  <c r="AB77" i="3"/>
  <c r="AB78" i="3" a="1"/>
  <c r="AB78" i="3"/>
  <c r="AB79" i="3" a="1"/>
  <c r="AB79" i="3" s="1"/>
  <c r="AB80" i="3" a="1"/>
  <c r="AB80" i="3" s="1"/>
  <c r="AB81" i="3" a="1"/>
  <c r="AB81" i="3"/>
  <c r="AB82" i="3" a="1"/>
  <c r="AB82" i="3"/>
  <c r="AB83" i="3" a="1"/>
  <c r="AB83" i="3" s="1"/>
  <c r="AB84" i="3" a="1"/>
  <c r="AB84" i="3" s="1"/>
  <c r="AB85" i="3" a="1"/>
  <c r="AB85" i="3"/>
  <c r="AB86" i="3" a="1"/>
  <c r="AB86" i="3"/>
  <c r="AB87" i="3" a="1"/>
  <c r="AB87" i="3" s="1"/>
  <c r="AB88" i="3" a="1"/>
  <c r="AB88" i="3" s="1"/>
  <c r="AB89" i="3" a="1"/>
  <c r="AB89" i="3"/>
  <c r="AB90" i="3" a="1"/>
  <c r="AB90" i="3"/>
  <c r="AB91" i="3" a="1"/>
  <c r="AB91" i="3" s="1"/>
  <c r="AB92" i="3" a="1"/>
  <c r="AB92" i="3" s="1"/>
  <c r="AB93" i="3" a="1"/>
  <c r="AB93" i="3"/>
  <c r="AB94" i="3" a="1"/>
  <c r="AB94" i="3"/>
  <c r="AB95" i="3" a="1"/>
  <c r="AB95" i="3" s="1"/>
  <c r="AB96" i="3" a="1"/>
  <c r="AB96" i="3" s="1"/>
  <c r="AB97" i="3" a="1"/>
  <c r="AB97" i="3"/>
  <c r="AB98" i="3" a="1"/>
  <c r="AB98" i="3"/>
  <c r="AB99" i="3" a="1"/>
  <c r="AB99" i="3" s="1"/>
  <c r="AB100" i="3" a="1"/>
  <c r="AB100" i="3" s="1"/>
  <c r="AB101" i="3" a="1"/>
  <c r="AB101" i="3"/>
  <c r="AB102" i="3" a="1"/>
  <c r="AB102" i="3"/>
  <c r="AB103" i="3" a="1"/>
  <c r="AB103" i="3" s="1"/>
  <c r="AB104" i="3" a="1"/>
  <c r="AB104" i="3" s="1"/>
  <c r="AB105" i="3" a="1"/>
  <c r="AB105" i="3"/>
  <c r="AB106" i="3" a="1"/>
  <c r="AB106" i="3"/>
  <c r="AB107" i="3" a="1"/>
  <c r="AB107" i="3" s="1"/>
  <c r="AB108" i="3" a="1"/>
  <c r="AB108" i="3" s="1"/>
  <c r="AB109" i="3" a="1"/>
  <c r="AB109" i="3"/>
  <c r="AB110" i="3" a="1"/>
  <c r="AB110" i="3"/>
  <c r="AB111" i="3" a="1"/>
  <c r="AB111" i="3" s="1"/>
  <c r="AB112" i="3" a="1"/>
  <c r="AB112" i="3" s="1"/>
  <c r="AB113" i="3" a="1"/>
  <c r="AB113" i="3"/>
  <c r="AB114" i="3" a="1"/>
  <c r="AB114" i="3"/>
  <c r="AB115" i="3" a="1"/>
  <c r="AB115" i="3" s="1"/>
  <c r="AB116" i="3" a="1"/>
  <c r="AB116" i="3" s="1"/>
  <c r="AB117" i="3" a="1"/>
  <c r="AB117" i="3"/>
  <c r="AB118" i="3" a="1"/>
  <c r="AB118" i="3"/>
  <c r="AB119" i="3" a="1"/>
  <c r="AB119" i="3" s="1"/>
  <c r="AB120" i="3" a="1"/>
  <c r="AB120" i="3" s="1"/>
  <c r="AB121" i="3" a="1"/>
  <c r="AB121" i="3"/>
  <c r="AB122" i="3" a="1"/>
  <c r="AB122" i="3"/>
  <c r="AB123" i="3" a="1"/>
  <c r="AB123" i="3" s="1"/>
  <c r="AB124" i="3" a="1"/>
  <c r="AB124" i="3" s="1"/>
  <c r="AB125" i="3" a="1"/>
  <c r="AB125" i="3"/>
  <c r="AB126" i="3" a="1"/>
  <c r="AB126" i="3"/>
  <c r="AB127" i="3" a="1"/>
  <c r="AB127" i="3" s="1"/>
  <c r="AB128" i="3" a="1"/>
  <c r="AB128" i="3" s="1"/>
  <c r="AB129" i="3" a="1"/>
  <c r="AB129" i="3" s="1"/>
  <c r="AA7" i="3" a="1"/>
  <c r="AA7" i="3" s="1"/>
  <c r="AA8" i="3" a="1"/>
  <c r="AA8" i="3"/>
  <c r="AA9" i="3" a="1"/>
  <c r="AA9" i="3"/>
  <c r="AA10" i="3" a="1"/>
  <c r="AA10" i="3" s="1"/>
  <c r="AA11" i="3" a="1"/>
  <c r="AA11" i="3" s="1"/>
  <c r="AA12" i="3" a="1"/>
  <c r="AA12" i="3"/>
  <c r="AA13" i="3" a="1"/>
  <c r="AA13" i="3"/>
  <c r="AA14" i="3" a="1"/>
  <c r="AA14" i="3" s="1"/>
  <c r="AA15" i="3" a="1"/>
  <c r="AA15" i="3" s="1"/>
  <c r="AA16" i="3" a="1"/>
  <c r="AA16" i="3"/>
  <c r="AA17" i="3" a="1"/>
  <c r="AA17" i="3"/>
  <c r="AA18" i="3" a="1"/>
  <c r="AA18" i="3" s="1"/>
  <c r="AA19" i="3" a="1"/>
  <c r="AA19" i="3" s="1"/>
  <c r="AA20" i="3" a="1"/>
  <c r="AA20" i="3"/>
  <c r="AA21" i="3" a="1"/>
  <c r="AA21" i="3"/>
  <c r="AA22" i="3" a="1"/>
  <c r="AA22" i="3" s="1"/>
  <c r="AA23" i="3" a="1"/>
  <c r="AA23" i="3" s="1"/>
  <c r="AA24" i="3" a="1"/>
  <c r="AA24" i="3"/>
  <c r="AA25" i="3" a="1"/>
  <c r="AA25" i="3"/>
  <c r="AA26" i="3" a="1"/>
  <c r="AA26" i="3" s="1"/>
  <c r="AA27" i="3" a="1"/>
  <c r="AA27" i="3" s="1"/>
  <c r="AA28" i="3" a="1"/>
  <c r="AA28" i="3"/>
  <c r="AA29" i="3" a="1"/>
  <c r="AA29" i="3"/>
  <c r="AA30" i="3" a="1"/>
  <c r="AA30" i="3" s="1"/>
  <c r="AA31" i="3" a="1"/>
  <c r="AA31" i="3" s="1"/>
  <c r="AA32" i="3" a="1"/>
  <c r="AA32" i="3"/>
  <c r="AA33" i="3" a="1"/>
  <c r="AA33" i="3"/>
  <c r="AA34" i="3" a="1"/>
  <c r="AA34" i="3" s="1"/>
  <c r="AA35" i="3" a="1"/>
  <c r="AA35" i="3" s="1"/>
  <c r="AA36" i="3" a="1"/>
  <c r="AA36" i="3"/>
  <c r="AA37" i="3" a="1"/>
  <c r="AA37" i="3"/>
  <c r="AA38" i="3" a="1"/>
  <c r="AA38" i="3" s="1"/>
  <c r="AA39" i="3" a="1"/>
  <c r="AA39" i="3" s="1"/>
  <c r="AA40" i="3" a="1"/>
  <c r="AA40" i="3"/>
  <c r="AA41" i="3" a="1"/>
  <c r="AA41" i="3"/>
  <c r="AA42" i="3" a="1"/>
  <c r="AA42" i="3" s="1"/>
  <c r="AA43" i="3" a="1"/>
  <c r="AA43" i="3" s="1"/>
  <c r="AA44" i="3" a="1"/>
  <c r="AA44" i="3"/>
  <c r="AA45" i="3" a="1"/>
  <c r="AA45" i="3"/>
  <c r="AA46" i="3" a="1"/>
  <c r="AA46" i="3" s="1"/>
  <c r="AA47" i="3" a="1"/>
  <c r="AA47" i="3" s="1"/>
  <c r="AA48" i="3" a="1"/>
  <c r="AA48" i="3"/>
  <c r="AA49" i="3" a="1"/>
  <c r="AA49" i="3"/>
  <c r="AA50" i="3" a="1"/>
  <c r="AA50" i="3" s="1"/>
  <c r="AA51" i="3" a="1"/>
  <c r="AA51" i="3" s="1"/>
  <c r="AA52" i="3" a="1"/>
  <c r="AA52" i="3"/>
  <c r="AA53" i="3" a="1"/>
  <c r="AA53" i="3"/>
  <c r="AA54" i="3" a="1"/>
  <c r="AA54" i="3" s="1"/>
  <c r="AA55" i="3" a="1"/>
  <c r="AA55" i="3" s="1"/>
  <c r="AA56" i="3" a="1"/>
  <c r="AA56" i="3"/>
  <c r="AA57" i="3" a="1"/>
  <c r="AA57" i="3"/>
  <c r="AA58" i="3" a="1"/>
  <c r="AA58" i="3" s="1"/>
  <c r="AA59" i="3" a="1"/>
  <c r="AA59" i="3" s="1"/>
  <c r="AA60" i="3" a="1"/>
  <c r="AA60" i="3"/>
  <c r="AA61" i="3" a="1"/>
  <c r="AA61" i="3"/>
  <c r="AA62" i="3" a="1"/>
  <c r="AA62" i="3" s="1"/>
  <c r="AA63" i="3" a="1"/>
  <c r="AA63" i="3" s="1"/>
  <c r="AA64" i="3" a="1"/>
  <c r="AA64" i="3"/>
  <c r="AA65" i="3" a="1"/>
  <c r="AA65" i="3"/>
  <c r="AA66" i="3" a="1"/>
  <c r="AA66" i="3" s="1"/>
  <c r="AA67" i="3" a="1"/>
  <c r="AA67" i="3" s="1"/>
  <c r="AA68" i="3" a="1"/>
  <c r="AA68" i="3"/>
  <c r="AA69" i="3" a="1"/>
  <c r="AA69" i="3"/>
  <c r="AA70" i="3" a="1"/>
  <c r="AA70" i="3" s="1"/>
  <c r="AA71" i="3" a="1"/>
  <c r="AA71" i="3" s="1"/>
  <c r="AA72" i="3" a="1"/>
  <c r="AA72" i="3"/>
  <c r="AA73" i="3" a="1"/>
  <c r="AA73" i="3"/>
  <c r="AA74" i="3" a="1"/>
  <c r="AA74" i="3" s="1"/>
  <c r="AA75" i="3" a="1"/>
  <c r="AA75" i="3" s="1"/>
  <c r="AA76" i="3" a="1"/>
  <c r="AA76" i="3"/>
  <c r="AA77" i="3" a="1"/>
  <c r="AA77" i="3"/>
  <c r="AA78" i="3" a="1"/>
  <c r="AA78" i="3" s="1"/>
  <c r="AA79" i="3" a="1"/>
  <c r="AA79" i="3" s="1"/>
  <c r="AA80" i="3" a="1"/>
  <c r="AA80" i="3"/>
  <c r="AA81" i="3" a="1"/>
  <c r="AA81" i="3"/>
  <c r="AA82" i="3" a="1"/>
  <c r="AA82" i="3" s="1"/>
  <c r="AA83" i="3" a="1"/>
  <c r="AA83" i="3" s="1"/>
  <c r="AA84" i="3" a="1"/>
  <c r="AA84" i="3"/>
  <c r="AA85" i="3" a="1"/>
  <c r="AA85" i="3"/>
  <c r="AA86" i="3" a="1"/>
  <c r="AA86" i="3" s="1"/>
  <c r="AA87" i="3" a="1"/>
  <c r="AA87" i="3" s="1"/>
  <c r="AA88" i="3" a="1"/>
  <c r="AA88" i="3"/>
  <c r="AA89" i="3" a="1"/>
  <c r="AA89" i="3"/>
  <c r="AA90" i="3" a="1"/>
  <c r="AA90" i="3" s="1"/>
  <c r="AA91" i="3" a="1"/>
  <c r="AA91" i="3" s="1"/>
  <c r="AA92" i="3" a="1"/>
  <c r="AA92" i="3"/>
  <c r="AA93" i="3" a="1"/>
  <c r="AA93" i="3"/>
  <c r="AA94" i="3" a="1"/>
  <c r="AA94" i="3" s="1"/>
  <c r="AA95" i="3" a="1"/>
  <c r="AA95" i="3" s="1"/>
  <c r="AA96" i="3" a="1"/>
  <c r="AA96" i="3"/>
  <c r="AA97" i="3" a="1"/>
  <c r="AA97" i="3"/>
  <c r="AA98" i="3" a="1"/>
  <c r="AA98" i="3" s="1"/>
  <c r="AA99" i="3" a="1"/>
  <c r="AA99" i="3" s="1"/>
  <c r="AA100" i="3" a="1"/>
  <c r="AA100" i="3"/>
  <c r="AA101" i="3" a="1"/>
  <c r="AA101" i="3" s="1"/>
  <c r="AA102" i="3" a="1"/>
  <c r="AA102" i="3" s="1"/>
  <c r="AA103" i="3" a="1"/>
  <c r="AA103" i="3" s="1"/>
  <c r="AA104" i="3" a="1"/>
  <c r="AA104" i="3"/>
  <c r="AA105" i="3" a="1"/>
  <c r="AA105" i="3"/>
  <c r="AA106" i="3" a="1"/>
  <c r="AA106" i="3" s="1"/>
  <c r="AA107" i="3" a="1"/>
  <c r="AA107" i="3" s="1"/>
  <c r="AA108" i="3" a="1"/>
  <c r="AA108" i="3"/>
  <c r="AA109" i="3" a="1"/>
  <c r="AA109" i="3"/>
  <c r="AA110" i="3" a="1"/>
  <c r="AA110" i="3" s="1"/>
  <c r="AA111" i="3" a="1"/>
  <c r="AA111" i="3" s="1"/>
  <c r="AA112" i="3" a="1"/>
  <c r="AA112" i="3"/>
  <c r="AA113" i="3" a="1"/>
  <c r="AA113" i="3"/>
  <c r="AA114" i="3" a="1"/>
  <c r="AA114" i="3" s="1"/>
  <c r="AA115" i="3" a="1"/>
  <c r="AA115" i="3" s="1"/>
  <c r="AA116" i="3" a="1"/>
  <c r="AA116" i="3"/>
  <c r="AA117" i="3" a="1"/>
  <c r="AA117" i="3"/>
  <c r="AA118" i="3" a="1"/>
  <c r="AA118" i="3" s="1"/>
  <c r="AA119" i="3" a="1"/>
  <c r="AA119" i="3" s="1"/>
  <c r="AA120" i="3" a="1"/>
  <c r="AA120" i="3"/>
  <c r="AA121" i="3" a="1"/>
  <c r="AA121" i="3"/>
  <c r="AA122" i="3" a="1"/>
  <c r="AA122" i="3" s="1"/>
  <c r="AA123" i="3" a="1"/>
  <c r="AA123" i="3" s="1"/>
  <c r="AA124" i="3" a="1"/>
  <c r="AA124" i="3"/>
  <c r="AA125" i="3" a="1"/>
  <c r="AA125" i="3"/>
  <c r="AA126" i="3" a="1"/>
  <c r="AA126" i="3" s="1"/>
  <c r="AA127" i="3" a="1"/>
  <c r="AA127" i="3" s="1"/>
  <c r="AA128" i="3" a="1"/>
  <c r="AA128" i="3" s="1"/>
  <c r="AA129" i="3" a="1"/>
  <c r="AA129" i="3" s="1"/>
  <c r="AA6" i="3" a="1"/>
  <c r="AA6" i="3" s="1"/>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6" i="4"/>
  <c r="S6" i="4" l="1"/>
  <c r="U6" i="4" a="1"/>
  <c r="U6" i="4" s="1"/>
  <c r="U7" i="4" a="1"/>
  <c r="U7" i="4" s="1"/>
  <c r="U8" i="4" a="1"/>
  <c r="U8" i="4"/>
  <c r="U9" i="4" a="1"/>
  <c r="U9" i="4" s="1"/>
  <c r="U10" i="4" a="1"/>
  <c r="U10" i="4" s="1"/>
  <c r="U11" i="4" a="1"/>
  <c r="U11" i="4" s="1"/>
  <c r="U12" i="4" a="1"/>
  <c r="U12" i="4"/>
  <c r="U13" i="4" a="1"/>
  <c r="U13" i="4"/>
  <c r="U14" i="4" a="1"/>
  <c r="U14" i="4" s="1"/>
  <c r="U15" i="4" a="1"/>
  <c r="U15" i="4" s="1"/>
  <c r="U16" i="4" a="1"/>
  <c r="U16" i="4"/>
  <c r="U17" i="4" a="1"/>
  <c r="U17" i="4"/>
  <c r="U18" i="4" a="1"/>
  <c r="U18" i="4" s="1"/>
  <c r="U19" i="4" a="1"/>
  <c r="U19" i="4" s="1"/>
  <c r="U20" i="4" a="1"/>
  <c r="U20" i="4"/>
  <c r="U21" i="4" a="1"/>
  <c r="U21" i="4"/>
  <c r="U22" i="4" a="1"/>
  <c r="U22" i="4" s="1"/>
  <c r="U23" i="4" a="1"/>
  <c r="U23" i="4" s="1"/>
  <c r="U24" i="4" a="1"/>
  <c r="U24" i="4"/>
  <c r="U25" i="4" a="1"/>
  <c r="U25" i="4"/>
  <c r="U26" i="4" a="1"/>
  <c r="U26" i="4" s="1"/>
  <c r="U27" i="4" a="1"/>
  <c r="U27" i="4" s="1"/>
  <c r="U28" i="4" a="1"/>
  <c r="U28" i="4"/>
  <c r="U29" i="4" a="1"/>
  <c r="U29" i="4"/>
  <c r="U30" i="4" a="1"/>
  <c r="U30" i="4" s="1"/>
  <c r="U31" i="4" a="1"/>
  <c r="U31" i="4" s="1"/>
  <c r="U32" i="4" a="1"/>
  <c r="U32" i="4"/>
  <c r="U33" i="4" a="1"/>
  <c r="U33" i="4"/>
  <c r="U34" i="4" a="1"/>
  <c r="U34" i="4" s="1"/>
  <c r="U35" i="4" a="1"/>
  <c r="U35" i="4" s="1"/>
  <c r="U36" i="4" a="1"/>
  <c r="U36" i="4"/>
  <c r="U37" i="4" a="1"/>
  <c r="U37" i="4"/>
  <c r="U38" i="4" a="1"/>
  <c r="U38" i="4" s="1"/>
  <c r="U39" i="4" a="1"/>
  <c r="U39" i="4" s="1"/>
  <c r="U40" i="4" a="1"/>
  <c r="U40" i="4"/>
  <c r="U41" i="4" a="1"/>
  <c r="U41" i="4"/>
  <c r="U42" i="4" a="1"/>
  <c r="U42" i="4" s="1"/>
  <c r="U43" i="4" a="1"/>
  <c r="U43" i="4" s="1"/>
  <c r="U44" i="4" a="1"/>
  <c r="U44" i="4"/>
  <c r="U45" i="4" a="1"/>
  <c r="U45" i="4"/>
  <c r="U46" i="4" a="1"/>
  <c r="U46" i="4" s="1"/>
  <c r="U47" i="4" a="1"/>
  <c r="U47" i="4" s="1"/>
  <c r="U48" i="4" a="1"/>
  <c r="U48" i="4"/>
  <c r="U49" i="4" a="1"/>
  <c r="U49" i="4"/>
  <c r="U50" i="4" a="1"/>
  <c r="U50" i="4" s="1"/>
  <c r="U51" i="4" a="1"/>
  <c r="U51" i="4" s="1"/>
  <c r="U52" i="4" a="1"/>
  <c r="U52" i="4"/>
  <c r="U53" i="4" a="1"/>
  <c r="U53" i="4"/>
  <c r="U54" i="4" a="1"/>
  <c r="U54" i="4" s="1"/>
  <c r="U55" i="4" a="1"/>
  <c r="U55" i="4" s="1"/>
  <c r="U56" i="4" a="1"/>
  <c r="U56" i="4"/>
  <c r="U57" i="4" a="1"/>
  <c r="U57" i="4"/>
  <c r="U58" i="4" a="1"/>
  <c r="U58" i="4" s="1"/>
  <c r="U59" i="4" a="1"/>
  <c r="U59" i="4" s="1"/>
  <c r="U60" i="4" a="1"/>
  <c r="U60" i="4"/>
  <c r="U61" i="4" a="1"/>
  <c r="U61" i="4"/>
  <c r="U62" i="4" a="1"/>
  <c r="U62" i="4" s="1"/>
  <c r="U63" i="4" a="1"/>
  <c r="U63" i="4" s="1"/>
  <c r="U64" i="4" a="1"/>
  <c r="U64" i="4"/>
  <c r="U65" i="4" a="1"/>
  <c r="U65" i="4"/>
  <c r="U66" i="4" a="1"/>
  <c r="U66" i="4" s="1"/>
  <c r="U67" i="4" a="1"/>
  <c r="U67" i="4" s="1"/>
  <c r="U68" i="4" a="1"/>
  <c r="U68" i="4"/>
  <c r="U69" i="4" a="1"/>
  <c r="U69" i="4"/>
  <c r="U70" i="4" a="1"/>
  <c r="U70" i="4" s="1"/>
  <c r="U71" i="4" a="1"/>
  <c r="U71" i="4" s="1"/>
  <c r="U72" i="4" a="1"/>
  <c r="U72" i="4"/>
  <c r="U73" i="4" a="1"/>
  <c r="U73" i="4"/>
  <c r="U74" i="4" a="1"/>
  <c r="U74" i="4" s="1"/>
  <c r="U75" i="4" a="1"/>
  <c r="U75" i="4" s="1"/>
  <c r="U76" i="4" a="1"/>
  <c r="U76" i="4"/>
  <c r="U77" i="4" a="1"/>
  <c r="U77" i="4"/>
  <c r="U78" i="4" a="1"/>
  <c r="U78" i="4" s="1"/>
  <c r="U79" i="4" a="1"/>
  <c r="U79" i="4" s="1"/>
  <c r="U80" i="4" a="1"/>
  <c r="U80" i="4"/>
  <c r="U81" i="4" a="1"/>
  <c r="U81" i="4"/>
  <c r="U82" i="4" a="1"/>
  <c r="U82" i="4" s="1"/>
  <c r="U83" i="4" a="1"/>
  <c r="U83" i="4" s="1"/>
  <c r="U84" i="4" a="1"/>
  <c r="U84" i="4"/>
  <c r="U85" i="4" a="1"/>
  <c r="U85" i="4"/>
  <c r="U86" i="4" a="1"/>
  <c r="U86" i="4" s="1"/>
  <c r="U87" i="4" a="1"/>
  <c r="U87" i="4" s="1"/>
  <c r="U88" i="4" a="1"/>
  <c r="U88" i="4"/>
  <c r="U89" i="4" a="1"/>
  <c r="U89" i="4"/>
  <c r="U90" i="4" a="1"/>
  <c r="U90" i="4" s="1"/>
  <c r="U91" i="4" a="1"/>
  <c r="U91" i="4" s="1"/>
  <c r="U92" i="4" a="1"/>
  <c r="U92" i="4"/>
  <c r="U93" i="4" a="1"/>
  <c r="U93" i="4"/>
  <c r="U94" i="4" a="1"/>
  <c r="U94" i="4" s="1"/>
  <c r="U95" i="4" a="1"/>
  <c r="U95" i="4" s="1"/>
  <c r="U96" i="4" a="1"/>
  <c r="U96" i="4"/>
  <c r="U97" i="4" a="1"/>
  <c r="U97" i="4"/>
  <c r="U98" i="4" a="1"/>
  <c r="U98" i="4" s="1"/>
  <c r="U99" i="4" a="1"/>
  <c r="U99" i="4" s="1"/>
  <c r="U100" i="4" a="1"/>
  <c r="U100" i="4"/>
  <c r="U101" i="4" a="1"/>
  <c r="U101" i="4" s="1"/>
  <c r="U102" i="4" a="1"/>
  <c r="U102" i="4" s="1"/>
  <c r="U103" i="4" a="1"/>
  <c r="U103" i="4" s="1"/>
  <c r="U104" i="4" a="1"/>
  <c r="U104" i="4"/>
  <c r="U105" i="4" a="1"/>
  <c r="U105" i="4" s="1"/>
  <c r="U106" i="4" a="1"/>
  <c r="U106" i="4" s="1"/>
  <c r="U107" i="4" a="1"/>
  <c r="U107" i="4" s="1"/>
  <c r="U108" i="4" a="1"/>
  <c r="U108" i="4"/>
  <c r="U109" i="4" a="1"/>
  <c r="U109" i="4" s="1"/>
  <c r="U110" i="4" a="1"/>
  <c r="U110" i="4" s="1"/>
  <c r="U111" i="4" a="1"/>
  <c r="U111" i="4" s="1"/>
  <c r="U112" i="4" a="1"/>
  <c r="U112" i="4"/>
  <c r="U113" i="4" a="1"/>
  <c r="U113" i="4" s="1"/>
  <c r="U114" i="4" a="1"/>
  <c r="U114" i="4" s="1"/>
  <c r="U115" i="4" a="1"/>
  <c r="U115" i="4" s="1"/>
  <c r="U116" i="4" a="1"/>
  <c r="U116" i="4"/>
  <c r="U117" i="4" a="1"/>
  <c r="U117" i="4" s="1"/>
  <c r="U118" i="4" a="1"/>
  <c r="U118" i="4" s="1"/>
  <c r="U119" i="4" a="1"/>
  <c r="U119" i="4" s="1"/>
  <c r="U120" i="4" a="1"/>
  <c r="U120" i="4"/>
  <c r="U121" i="4" a="1"/>
  <c r="U121" i="4" s="1"/>
  <c r="U122" i="4" a="1"/>
  <c r="U122" i="4" s="1"/>
  <c r="U123" i="4" a="1"/>
  <c r="U123" i="4" s="1"/>
  <c r="U124" i="4" a="1"/>
  <c r="U124" i="4"/>
  <c r="U125" i="4" a="1"/>
  <c r="U125" i="4" s="1"/>
  <c r="U126" i="4" a="1"/>
  <c r="U126" i="4" s="1"/>
  <c r="U127" i="4" a="1"/>
  <c r="U127" i="4" s="1"/>
  <c r="U128" i="4" a="1"/>
  <c r="U128" i="4"/>
  <c r="U129" i="4" a="1"/>
  <c r="U129" i="4" s="1"/>
  <c r="U6" i="3" a="1"/>
  <c r="U6" i="3" s="1"/>
  <c r="U7" i="3" a="1"/>
  <c r="U7" i="3" s="1"/>
  <c r="U8" i="3" a="1"/>
  <c r="U8" i="3"/>
  <c r="U9" i="3" a="1"/>
  <c r="U9" i="3" s="1"/>
  <c r="U10" i="3" a="1"/>
  <c r="U10" i="3"/>
  <c r="U11" i="3" a="1"/>
  <c r="U11" i="3" s="1"/>
  <c r="U12" i="3" a="1"/>
  <c r="U12" i="3"/>
  <c r="U13" i="3" a="1"/>
  <c r="U13" i="3" s="1"/>
  <c r="U14" i="3" a="1"/>
  <c r="U14" i="3"/>
  <c r="U15" i="3" a="1"/>
  <c r="U15" i="3" s="1"/>
  <c r="U16" i="3" a="1"/>
  <c r="U16" i="3"/>
  <c r="U17" i="3" a="1"/>
  <c r="U17" i="3" s="1"/>
  <c r="U18" i="3" a="1"/>
  <c r="U18" i="3"/>
  <c r="U19" i="3" a="1"/>
  <c r="U19" i="3" s="1"/>
  <c r="U20" i="3" a="1"/>
  <c r="U20" i="3"/>
  <c r="U21" i="3" a="1"/>
  <c r="U21" i="3" s="1"/>
  <c r="U22" i="3" a="1"/>
  <c r="U22" i="3"/>
  <c r="U23" i="3" a="1"/>
  <c r="U23" i="3" s="1"/>
  <c r="U24" i="3" a="1"/>
  <c r="U24" i="3"/>
  <c r="U25" i="3" a="1"/>
  <c r="U25" i="3" s="1"/>
  <c r="U26" i="3" a="1"/>
  <c r="U26" i="3"/>
  <c r="U27" i="3" a="1"/>
  <c r="U27" i="3" s="1"/>
  <c r="U28" i="3" a="1"/>
  <c r="U28" i="3"/>
  <c r="U29" i="3" a="1"/>
  <c r="U29" i="3" s="1"/>
  <c r="U30" i="3" a="1"/>
  <c r="U30" i="3"/>
  <c r="U31" i="3" a="1"/>
  <c r="U31" i="3" s="1"/>
  <c r="U32" i="3" a="1"/>
  <c r="U32" i="3"/>
  <c r="U33" i="3" a="1"/>
  <c r="U33" i="3" s="1"/>
  <c r="U34" i="3" a="1"/>
  <c r="U34" i="3"/>
  <c r="U35" i="3" a="1"/>
  <c r="U35" i="3" s="1"/>
  <c r="U36" i="3" a="1"/>
  <c r="U36" i="3"/>
  <c r="U37" i="3" a="1"/>
  <c r="U37" i="3" s="1"/>
  <c r="U38" i="3" a="1"/>
  <c r="U38" i="3"/>
  <c r="U39" i="3" a="1"/>
  <c r="U39" i="3" s="1"/>
  <c r="U40" i="3" a="1"/>
  <c r="U40" i="3"/>
  <c r="U41" i="3" a="1"/>
  <c r="U41" i="3" s="1"/>
  <c r="U42" i="3" a="1"/>
  <c r="U42" i="3"/>
  <c r="U43" i="3" a="1"/>
  <c r="U43" i="3" s="1"/>
  <c r="U44" i="3" a="1"/>
  <c r="U44" i="3"/>
  <c r="U45" i="3" a="1"/>
  <c r="U45" i="3" s="1"/>
  <c r="U46" i="3" a="1"/>
  <c r="U46" i="3"/>
  <c r="U47" i="3" a="1"/>
  <c r="U47" i="3" s="1"/>
  <c r="U48" i="3" a="1"/>
  <c r="U48" i="3"/>
  <c r="U49" i="3" a="1"/>
  <c r="U49" i="3" s="1"/>
  <c r="U50" i="3" a="1"/>
  <c r="U50" i="3"/>
  <c r="U51" i="3" a="1"/>
  <c r="U51" i="3" s="1"/>
  <c r="U52" i="3" a="1"/>
  <c r="U52" i="3"/>
  <c r="U53" i="3" a="1"/>
  <c r="U53" i="3" s="1"/>
  <c r="U54" i="3" a="1"/>
  <c r="U54" i="3"/>
  <c r="U55" i="3" a="1"/>
  <c r="U55" i="3" s="1"/>
  <c r="U56" i="3" a="1"/>
  <c r="U56" i="3"/>
  <c r="U57" i="3" a="1"/>
  <c r="U57" i="3" s="1"/>
  <c r="U58" i="3" a="1"/>
  <c r="U58" i="3"/>
  <c r="U59" i="3" a="1"/>
  <c r="U59" i="3" s="1"/>
  <c r="U60" i="3" a="1"/>
  <c r="U60" i="3"/>
  <c r="U61" i="3" a="1"/>
  <c r="U61" i="3" s="1"/>
  <c r="U62" i="3" a="1"/>
  <c r="U62" i="3"/>
  <c r="U63" i="3" a="1"/>
  <c r="U63" i="3" s="1"/>
  <c r="U64" i="3" a="1"/>
  <c r="U64" i="3"/>
  <c r="U65" i="3" a="1"/>
  <c r="U65" i="3" s="1"/>
  <c r="U66" i="3" a="1"/>
  <c r="U66" i="3"/>
  <c r="U67" i="3" a="1"/>
  <c r="U67" i="3" s="1"/>
  <c r="U68" i="3" a="1"/>
  <c r="U68" i="3"/>
  <c r="U69" i="3" a="1"/>
  <c r="U69" i="3" s="1"/>
  <c r="U70" i="3" a="1"/>
  <c r="U70" i="3"/>
  <c r="U71" i="3" a="1"/>
  <c r="U71" i="3" s="1"/>
  <c r="U72" i="3" a="1"/>
  <c r="U72" i="3"/>
  <c r="U73" i="3" a="1"/>
  <c r="U73" i="3" s="1"/>
  <c r="U74" i="3" a="1"/>
  <c r="U74" i="3"/>
  <c r="U75" i="3" a="1"/>
  <c r="U75" i="3" s="1"/>
  <c r="U76" i="3" a="1"/>
  <c r="U76" i="3"/>
  <c r="U77" i="3" a="1"/>
  <c r="U77" i="3" s="1"/>
  <c r="U78" i="3" a="1"/>
  <c r="U78" i="3"/>
  <c r="U79" i="3" a="1"/>
  <c r="U79" i="3" s="1"/>
  <c r="U80" i="3" a="1"/>
  <c r="U80" i="3"/>
  <c r="U81" i="3" a="1"/>
  <c r="U81" i="3" s="1"/>
  <c r="U82" i="3" a="1"/>
  <c r="U82" i="3"/>
  <c r="U83" i="3" a="1"/>
  <c r="U83" i="3" s="1"/>
  <c r="U84" i="3" a="1"/>
  <c r="U84" i="3"/>
  <c r="U85" i="3" a="1"/>
  <c r="U85" i="3" s="1"/>
  <c r="U86" i="3" a="1"/>
  <c r="U86" i="3"/>
  <c r="U87" i="3" a="1"/>
  <c r="U87" i="3" s="1"/>
  <c r="U88" i="3" a="1"/>
  <c r="U88" i="3" s="1"/>
  <c r="U89" i="3" a="1"/>
  <c r="U89" i="3" s="1"/>
  <c r="U90" i="3" a="1"/>
  <c r="U90" i="3"/>
  <c r="U91" i="3" a="1"/>
  <c r="U91" i="3" s="1"/>
  <c r="U92" i="3" a="1"/>
  <c r="U92" i="3"/>
  <c r="U93" i="3" a="1"/>
  <c r="U93" i="3" s="1"/>
  <c r="U94" i="3" a="1"/>
  <c r="U94" i="3"/>
  <c r="U95" i="3" a="1"/>
  <c r="U95" i="3" s="1"/>
  <c r="U96" i="3" a="1"/>
  <c r="U96" i="3"/>
  <c r="U97" i="3" a="1"/>
  <c r="U97" i="3" s="1"/>
  <c r="U98" i="3" a="1"/>
  <c r="U98" i="3"/>
  <c r="U99" i="3" a="1"/>
  <c r="U99" i="3" s="1"/>
  <c r="U100" i="3" a="1"/>
  <c r="U100" i="3" s="1"/>
  <c r="U101" i="3" a="1"/>
  <c r="U101" i="3" s="1"/>
  <c r="U102" i="3" a="1"/>
  <c r="U102" i="3"/>
  <c r="U103" i="3" a="1"/>
  <c r="U103" i="3" s="1"/>
  <c r="U104" i="3" a="1"/>
  <c r="U104" i="3" s="1"/>
  <c r="U105" i="3" a="1"/>
  <c r="U105" i="3" s="1"/>
  <c r="U106" i="3" a="1"/>
  <c r="U106" i="3"/>
  <c r="U107" i="3" a="1"/>
  <c r="U107" i="3" s="1"/>
  <c r="U108" i="3" a="1"/>
  <c r="U108" i="3" s="1"/>
  <c r="U109" i="3" a="1"/>
  <c r="U109" i="3" s="1"/>
  <c r="U110" i="3" a="1"/>
  <c r="U110" i="3"/>
  <c r="U111" i="3" a="1"/>
  <c r="U111" i="3" s="1"/>
  <c r="U112" i="3" a="1"/>
  <c r="U112" i="3" s="1"/>
  <c r="U113" i="3" a="1"/>
  <c r="U113" i="3" s="1"/>
  <c r="U114" i="3" a="1"/>
  <c r="U114" i="3"/>
  <c r="U115" i="3" a="1"/>
  <c r="U115" i="3" s="1"/>
  <c r="U116" i="3" a="1"/>
  <c r="U116" i="3" s="1"/>
  <c r="U117" i="3" a="1"/>
  <c r="U117" i="3" s="1"/>
  <c r="U118" i="3" a="1"/>
  <c r="U118" i="3"/>
  <c r="U119" i="3" a="1"/>
  <c r="U119" i="3" s="1"/>
  <c r="U120" i="3" a="1"/>
  <c r="U120" i="3" s="1"/>
  <c r="U121" i="3" a="1"/>
  <c r="U121" i="3" s="1"/>
  <c r="U122" i="3" a="1"/>
  <c r="U122" i="3"/>
  <c r="U123" i="3" a="1"/>
  <c r="U123" i="3" s="1"/>
  <c r="U124" i="3" a="1"/>
  <c r="U124" i="3" s="1"/>
  <c r="U125" i="3" a="1"/>
  <c r="U125" i="3" s="1"/>
  <c r="U126" i="3" a="1"/>
  <c r="U126" i="3"/>
  <c r="U127" i="3" a="1"/>
  <c r="U127" i="3" s="1"/>
  <c r="U128" i="3" a="1"/>
  <c r="U128" i="3" s="1"/>
  <c r="U129" i="3" a="1"/>
  <c r="U129" i="3" s="1"/>
  <c r="T5" i="2"/>
  <c r="R2" i="3"/>
  <c r="S129" i="3"/>
  <c r="S129" i="4"/>
  <c r="V2" i="4" l="1"/>
  <c r="V6" i="4" s="1"/>
  <c r="V2" i="3"/>
  <c r="X129" i="2"/>
  <c r="X128" i="2"/>
  <c r="U127" i="2"/>
  <c r="S129" i="2"/>
  <c r="T129" i="2"/>
  <c r="Y129" i="1"/>
  <c r="T129" i="1"/>
  <c r="S129" i="1"/>
  <c r="Y5" i="1"/>
  <c r="T5" i="1"/>
  <c r="S5" i="1"/>
  <c r="X6" i="3"/>
  <c r="S6" i="3"/>
  <c r="Y5" i="6"/>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28" i="3"/>
  <c r="V1" i="3" s="1"/>
  <c r="T6" i="3" s="1"/>
  <c r="X127" i="4"/>
  <c r="V11" i="4" l="1"/>
  <c r="V19" i="4"/>
  <c r="V27" i="4"/>
  <c r="V35" i="4"/>
  <c r="V43" i="4"/>
  <c r="V51" i="4"/>
  <c r="V59" i="4"/>
  <c r="V67" i="4"/>
  <c r="V75" i="4"/>
  <c r="V83" i="4"/>
  <c r="V91" i="4"/>
  <c r="V99" i="4"/>
  <c r="V107" i="4"/>
  <c r="V115" i="4"/>
  <c r="V123" i="4"/>
  <c r="V12" i="4"/>
  <c r="V20" i="4"/>
  <c r="V28" i="4"/>
  <c r="V36" i="4"/>
  <c r="V44" i="4"/>
  <c r="V52" i="4"/>
  <c r="V60" i="4"/>
  <c r="V68" i="4"/>
  <c r="V76" i="4"/>
  <c r="V84" i="4"/>
  <c r="V92" i="4"/>
  <c r="V100" i="4"/>
  <c r="V108" i="4"/>
  <c r="V116" i="4"/>
  <c r="V124" i="4"/>
  <c r="V13" i="4"/>
  <c r="V21" i="4"/>
  <c r="V29" i="4"/>
  <c r="V37" i="4"/>
  <c r="V45" i="4"/>
  <c r="V53" i="4"/>
  <c r="V61" i="4"/>
  <c r="V69" i="4"/>
  <c r="V77" i="4"/>
  <c r="V85" i="4"/>
  <c r="V93" i="4"/>
  <c r="V101" i="4"/>
  <c r="V109" i="4"/>
  <c r="V117" i="4"/>
  <c r="V125" i="4"/>
  <c r="V14" i="4"/>
  <c r="V22" i="4"/>
  <c r="V30" i="4"/>
  <c r="V38" i="4"/>
  <c r="V46" i="4"/>
  <c r="V54" i="4"/>
  <c r="V62" i="4"/>
  <c r="V70" i="4"/>
  <c r="V78" i="4"/>
  <c r="V86" i="4"/>
  <c r="V94" i="4"/>
  <c r="V102" i="4"/>
  <c r="V110" i="4"/>
  <c r="V118" i="4"/>
  <c r="V126" i="4"/>
  <c r="V7" i="4"/>
  <c r="V15" i="4"/>
  <c r="V23" i="4"/>
  <c r="V31" i="4"/>
  <c r="V39" i="4"/>
  <c r="V47" i="4"/>
  <c r="V55" i="4"/>
  <c r="V63" i="4"/>
  <c r="V71" i="4"/>
  <c r="V79" i="4"/>
  <c r="V87" i="4"/>
  <c r="V95" i="4"/>
  <c r="V103" i="4"/>
  <c r="V111" i="4"/>
  <c r="V119" i="4"/>
  <c r="V127" i="4"/>
  <c r="V8" i="4"/>
  <c r="V16" i="4"/>
  <c r="V24" i="4"/>
  <c r="V32" i="4"/>
  <c r="V40" i="4"/>
  <c r="V48" i="4"/>
  <c r="V56" i="4"/>
  <c r="V64" i="4"/>
  <c r="V72" i="4"/>
  <c r="V80" i="4"/>
  <c r="V88" i="4"/>
  <c r="V96" i="4"/>
  <c r="V104" i="4"/>
  <c r="V112" i="4"/>
  <c r="V120" i="4"/>
  <c r="V128" i="4"/>
  <c r="V9" i="4"/>
  <c r="V17" i="4"/>
  <c r="V25" i="4"/>
  <c r="V33" i="4"/>
  <c r="V41" i="4"/>
  <c r="V49" i="4"/>
  <c r="V57" i="4"/>
  <c r="V65" i="4"/>
  <c r="V73" i="4"/>
  <c r="V81" i="4"/>
  <c r="V89" i="4"/>
  <c r="V97" i="4"/>
  <c r="V105" i="4"/>
  <c r="V113" i="4"/>
  <c r="V121" i="4"/>
  <c r="V129" i="4"/>
  <c r="V10" i="4"/>
  <c r="V18" i="4"/>
  <c r="V26" i="4"/>
  <c r="V34" i="4"/>
  <c r="V42" i="4"/>
  <c r="V50" i="4"/>
  <c r="V58" i="4"/>
  <c r="V66" i="4"/>
  <c r="V74" i="4"/>
  <c r="V82" i="4"/>
  <c r="V90" i="4"/>
  <c r="V98" i="4"/>
  <c r="V106" i="4"/>
  <c r="V114" i="4"/>
  <c r="V122" i="4"/>
  <c r="V13" i="3"/>
  <c r="AE13" i="3" s="1"/>
  <c r="V14" i="3"/>
  <c r="AE14" i="3" s="1"/>
  <c r="V22" i="3"/>
  <c r="AE22" i="3" s="1"/>
  <c r="V30" i="3"/>
  <c r="AE30" i="3" s="1"/>
  <c r="V38" i="3"/>
  <c r="AE38" i="3" s="1"/>
  <c r="V46" i="3"/>
  <c r="AE46" i="3" s="1"/>
  <c r="V54" i="3"/>
  <c r="AE54" i="3" s="1"/>
  <c r="V62" i="3"/>
  <c r="AE62" i="3" s="1"/>
  <c r="V78" i="3"/>
  <c r="AE78" i="3" s="1"/>
  <c r="V94" i="3"/>
  <c r="AE94" i="3" s="1"/>
  <c r="V7" i="3"/>
  <c r="AE7" i="3" s="1"/>
  <c r="V15" i="3"/>
  <c r="AE15" i="3" s="1"/>
  <c r="V23" i="3"/>
  <c r="AE23" i="3" s="1"/>
  <c r="V31" i="3"/>
  <c r="AE31" i="3" s="1"/>
  <c r="V39" i="3"/>
  <c r="AE39" i="3" s="1"/>
  <c r="V47" i="3"/>
  <c r="AE47" i="3" s="1"/>
  <c r="V55" i="3"/>
  <c r="AE55" i="3" s="1"/>
  <c r="V63" i="3"/>
  <c r="AE63" i="3" s="1"/>
  <c r="V71" i="3"/>
  <c r="AE71" i="3" s="1"/>
  <c r="V79" i="3"/>
  <c r="AE79" i="3" s="1"/>
  <c r="V87" i="3"/>
  <c r="AE87" i="3" s="1"/>
  <c r="V95" i="3"/>
  <c r="AE95" i="3" s="1"/>
  <c r="V103" i="3"/>
  <c r="AE103" i="3" s="1"/>
  <c r="V111" i="3"/>
  <c r="AE111" i="3" s="1"/>
  <c r="V119" i="3"/>
  <c r="AE119" i="3" s="1"/>
  <c r="V127" i="3"/>
  <c r="AE127" i="3" s="1"/>
  <c r="V17" i="3"/>
  <c r="AE17" i="3" s="1"/>
  <c r="V49" i="3"/>
  <c r="AE49" i="3" s="1"/>
  <c r="V65" i="3"/>
  <c r="AE65" i="3" s="1"/>
  <c r="V81" i="3"/>
  <c r="AE81" i="3" s="1"/>
  <c r="V97" i="3"/>
  <c r="AE97" i="3" s="1"/>
  <c r="V113" i="3"/>
  <c r="AE113" i="3" s="1"/>
  <c r="V129" i="3"/>
  <c r="V18" i="3"/>
  <c r="AE18" i="3" s="1"/>
  <c r="V58" i="3"/>
  <c r="AE58" i="3" s="1"/>
  <c r="V74" i="3"/>
  <c r="AE74" i="3" s="1"/>
  <c r="V90" i="3"/>
  <c r="AE90" i="3" s="1"/>
  <c r="V106" i="3"/>
  <c r="AE106" i="3" s="1"/>
  <c r="V114" i="3"/>
  <c r="AE114" i="3" s="1"/>
  <c r="V122" i="3"/>
  <c r="AE122" i="3" s="1"/>
  <c r="V19" i="3"/>
  <c r="AE19" i="3" s="1"/>
  <c r="V59" i="3"/>
  <c r="AE59" i="3" s="1"/>
  <c r="V99" i="3"/>
  <c r="AE99" i="3" s="1"/>
  <c r="V8" i="3"/>
  <c r="AE8" i="3" s="1"/>
  <c r="V16" i="3"/>
  <c r="AE16" i="3" s="1"/>
  <c r="V24" i="3"/>
  <c r="AE24" i="3" s="1"/>
  <c r="V32" i="3"/>
  <c r="AE32" i="3" s="1"/>
  <c r="V40" i="3"/>
  <c r="AE40" i="3" s="1"/>
  <c r="V48" i="3"/>
  <c r="AE48" i="3" s="1"/>
  <c r="V56" i="3"/>
  <c r="AE56" i="3" s="1"/>
  <c r="V64" i="3"/>
  <c r="AE64" i="3" s="1"/>
  <c r="V72" i="3"/>
  <c r="AE72" i="3" s="1"/>
  <c r="V80" i="3"/>
  <c r="AE80" i="3" s="1"/>
  <c r="V88" i="3"/>
  <c r="AE88" i="3" s="1"/>
  <c r="V96" i="3"/>
  <c r="AE96" i="3" s="1"/>
  <c r="V104" i="3"/>
  <c r="AE104" i="3" s="1"/>
  <c r="V112" i="3"/>
  <c r="AE112" i="3" s="1"/>
  <c r="V120" i="3"/>
  <c r="AE120" i="3" s="1"/>
  <c r="V128" i="3"/>
  <c r="AE128" i="3" s="1"/>
  <c r="V9" i="3"/>
  <c r="AE9" i="3" s="1"/>
  <c r="V25" i="3"/>
  <c r="AE25" i="3" s="1"/>
  <c r="V33" i="3"/>
  <c r="AE33" i="3" s="1"/>
  <c r="V41" i="3"/>
  <c r="AE41" i="3" s="1"/>
  <c r="V57" i="3"/>
  <c r="AE57" i="3" s="1"/>
  <c r="V73" i="3"/>
  <c r="AE73" i="3" s="1"/>
  <c r="V89" i="3"/>
  <c r="AE89" i="3" s="1"/>
  <c r="V105" i="3"/>
  <c r="AE105" i="3" s="1"/>
  <c r="V121" i="3"/>
  <c r="AE121" i="3" s="1"/>
  <c r="V10" i="3"/>
  <c r="AE10" i="3" s="1"/>
  <c r="V26" i="3"/>
  <c r="AE26" i="3" s="1"/>
  <c r="V34" i="3"/>
  <c r="AE34" i="3" s="1"/>
  <c r="V42" i="3"/>
  <c r="AE42" i="3" s="1"/>
  <c r="V50" i="3"/>
  <c r="AE50" i="3" s="1"/>
  <c r="V66" i="3"/>
  <c r="AE66" i="3" s="1"/>
  <c r="V82" i="3"/>
  <c r="AE82" i="3" s="1"/>
  <c r="V98" i="3"/>
  <c r="AE98" i="3" s="1"/>
  <c r="V11" i="3"/>
  <c r="AE11" i="3" s="1"/>
  <c r="V35" i="3"/>
  <c r="AE35" i="3" s="1"/>
  <c r="V43" i="3"/>
  <c r="AE43" i="3" s="1"/>
  <c r="V51" i="3"/>
  <c r="AE51" i="3" s="1"/>
  <c r="V75" i="3"/>
  <c r="AE75" i="3" s="1"/>
  <c r="V83" i="3"/>
  <c r="AE83" i="3" s="1"/>
  <c r="V107" i="3"/>
  <c r="AE107" i="3" s="1"/>
  <c r="V12" i="3"/>
  <c r="AE12" i="3" s="1"/>
  <c r="V20" i="3"/>
  <c r="AE20" i="3" s="1"/>
  <c r="V28" i="3"/>
  <c r="AE28" i="3" s="1"/>
  <c r="V36" i="3"/>
  <c r="AE36" i="3" s="1"/>
  <c r="V44" i="3"/>
  <c r="AE44" i="3" s="1"/>
  <c r="V52" i="3"/>
  <c r="AE52" i="3" s="1"/>
  <c r="V60" i="3"/>
  <c r="AE60" i="3" s="1"/>
  <c r="V68" i="3"/>
  <c r="AE68" i="3" s="1"/>
  <c r="V76" i="3"/>
  <c r="AE76" i="3" s="1"/>
  <c r="V84" i="3"/>
  <c r="AE84" i="3" s="1"/>
  <c r="V92" i="3"/>
  <c r="AE92" i="3" s="1"/>
  <c r="V100" i="3"/>
  <c r="AE100" i="3" s="1"/>
  <c r="V108" i="3"/>
  <c r="AE108" i="3" s="1"/>
  <c r="V116" i="3"/>
  <c r="AE116" i="3" s="1"/>
  <c r="V124" i="3"/>
  <c r="AE124" i="3" s="1"/>
  <c r="V21" i="3"/>
  <c r="AE21" i="3" s="1"/>
  <c r="V29" i="3"/>
  <c r="AE29" i="3" s="1"/>
  <c r="V37" i="3"/>
  <c r="AE37" i="3" s="1"/>
  <c r="V45" i="3"/>
  <c r="AE45" i="3" s="1"/>
  <c r="V53" i="3"/>
  <c r="AE53" i="3" s="1"/>
  <c r="V61" i="3"/>
  <c r="AE61" i="3" s="1"/>
  <c r="V69" i="3"/>
  <c r="AE69" i="3" s="1"/>
  <c r="V77" i="3"/>
  <c r="AE77" i="3" s="1"/>
  <c r="V85" i="3"/>
  <c r="AE85" i="3" s="1"/>
  <c r="V93" i="3"/>
  <c r="AE93" i="3" s="1"/>
  <c r="V101" i="3"/>
  <c r="AE101" i="3" s="1"/>
  <c r="V109" i="3"/>
  <c r="AE109" i="3" s="1"/>
  <c r="V117" i="3"/>
  <c r="AE117" i="3" s="1"/>
  <c r="V125" i="3"/>
  <c r="AE125" i="3" s="1"/>
  <c r="V70" i="3"/>
  <c r="AE70" i="3" s="1"/>
  <c r="V86" i="3"/>
  <c r="AE86" i="3" s="1"/>
  <c r="V102" i="3"/>
  <c r="AE102" i="3" s="1"/>
  <c r="V110" i="3"/>
  <c r="AE110" i="3" s="1"/>
  <c r="V118" i="3"/>
  <c r="AE118" i="3" s="1"/>
  <c r="V126" i="3"/>
  <c r="AE126" i="3" s="1"/>
  <c r="V27" i="3"/>
  <c r="AE27" i="3" s="1"/>
  <c r="V67" i="3"/>
  <c r="AE67" i="3" s="1"/>
  <c r="V91" i="3"/>
  <c r="AE91" i="3" s="1"/>
  <c r="V115" i="3"/>
  <c r="AE115" i="3" s="1"/>
  <c r="V123" i="3"/>
  <c r="AE123" i="3" s="1"/>
  <c r="V6" i="3"/>
  <c r="AE6" i="3" s="1"/>
  <c r="S127" i="4"/>
  <c r="X5" i="2" l="1"/>
  <c r="S7" i="4" l="1"/>
  <c r="S9" i="4"/>
  <c r="B136" i="6"/>
  <c r="C136" i="6"/>
  <c r="D136" i="6"/>
  <c r="E136" i="6"/>
  <c r="F136" i="6"/>
  <c r="G136" i="6"/>
  <c r="H136" i="6"/>
  <c r="I136" i="6"/>
  <c r="J136" i="6"/>
  <c r="K136" i="6"/>
  <c r="L136" i="6"/>
  <c r="M136" i="6"/>
  <c r="N136" i="6"/>
  <c r="O136" i="6"/>
  <c r="P136" i="6"/>
  <c r="Q136" i="6"/>
  <c r="C135" i="6"/>
  <c r="D135" i="6"/>
  <c r="E135" i="6"/>
  <c r="F135" i="6"/>
  <c r="G135" i="6"/>
  <c r="H135" i="6"/>
  <c r="I135" i="6"/>
  <c r="J135" i="6"/>
  <c r="K135" i="6"/>
  <c r="L135" i="6"/>
  <c r="M135" i="6"/>
  <c r="N135" i="6"/>
  <c r="O135" i="6"/>
  <c r="P135" i="6"/>
  <c r="Q135" i="6"/>
  <c r="B135" i="6"/>
  <c r="S128" i="6"/>
  <c r="S127" i="6"/>
  <c r="S126" i="6"/>
  <c r="S124" i="6"/>
  <c r="Z127" i="6"/>
  <c r="Z126" i="6"/>
  <c r="Z125" i="6"/>
  <c r="Z124" i="6"/>
  <c r="Z123" i="6"/>
  <c r="S123" i="6"/>
  <c r="Z122" i="6"/>
  <c r="S122" i="6"/>
  <c r="Z121" i="6"/>
  <c r="S121" i="6"/>
  <c r="Z120" i="6"/>
  <c r="S120" i="6"/>
  <c r="Z119" i="6"/>
  <c r="S119" i="6"/>
  <c r="Z118" i="6"/>
  <c r="S118" i="6"/>
  <c r="Z117" i="6"/>
  <c r="S117" i="6"/>
  <c r="Z116" i="6"/>
  <c r="S116" i="6"/>
  <c r="Z115" i="6"/>
  <c r="S115" i="6"/>
  <c r="Z114" i="6"/>
  <c r="S114" i="6"/>
  <c r="Z113" i="6"/>
  <c r="S113" i="6"/>
  <c r="Z112" i="6"/>
  <c r="S112" i="6"/>
  <c r="Z111" i="6"/>
  <c r="S111" i="6"/>
  <c r="Z110" i="6"/>
  <c r="S110" i="6"/>
  <c r="Z109" i="6"/>
  <c r="S109" i="6"/>
  <c r="Z108" i="6"/>
  <c r="S108" i="6"/>
  <c r="Z107" i="6"/>
  <c r="S107" i="6"/>
  <c r="Z106" i="6"/>
  <c r="S106" i="6"/>
  <c r="Z105" i="6"/>
  <c r="S105" i="6"/>
  <c r="Z104" i="6"/>
  <c r="S104" i="6"/>
  <c r="Z103" i="6"/>
  <c r="S103" i="6"/>
  <c r="Z102" i="6"/>
  <c r="S102" i="6"/>
  <c r="Z101" i="6"/>
  <c r="S101" i="6"/>
  <c r="Z100" i="6"/>
  <c r="S100" i="6"/>
  <c r="Z99" i="6"/>
  <c r="S99" i="6"/>
  <c r="Z98" i="6"/>
  <c r="S98" i="6"/>
  <c r="Z97" i="6"/>
  <c r="S97" i="6"/>
  <c r="Z96" i="6"/>
  <c r="S96" i="6"/>
  <c r="Z95" i="6"/>
  <c r="S95" i="6"/>
  <c r="Z94" i="6"/>
  <c r="S94" i="6"/>
  <c r="Z93" i="6"/>
  <c r="S93" i="6"/>
  <c r="Z92" i="6"/>
  <c r="S92" i="6"/>
  <c r="Z91" i="6"/>
  <c r="S91" i="6"/>
  <c r="Z90" i="6"/>
  <c r="S90" i="6"/>
  <c r="Z89" i="6"/>
  <c r="S89" i="6"/>
  <c r="Z88" i="6"/>
  <c r="S88" i="6"/>
  <c r="Z87" i="6"/>
  <c r="S87" i="6"/>
  <c r="Z86" i="6"/>
  <c r="S86" i="6"/>
  <c r="Z85" i="6"/>
  <c r="S85" i="6"/>
  <c r="Z84" i="6"/>
  <c r="S84" i="6"/>
  <c r="Z83" i="6"/>
  <c r="S83" i="6"/>
  <c r="Z82" i="6"/>
  <c r="S82" i="6"/>
  <c r="Z81" i="6"/>
  <c r="S81" i="6"/>
  <c r="Z80" i="6"/>
  <c r="S80" i="6"/>
  <c r="Z79" i="6"/>
  <c r="S79" i="6"/>
  <c r="Z78" i="6"/>
  <c r="S78" i="6"/>
  <c r="Z77" i="6"/>
  <c r="S77" i="6"/>
  <c r="Z76" i="6"/>
  <c r="S76" i="6"/>
  <c r="Z75" i="6"/>
  <c r="S75" i="6"/>
  <c r="Z74" i="6"/>
  <c r="S74" i="6"/>
  <c r="Z73" i="6"/>
  <c r="S73" i="6"/>
  <c r="Z72" i="6"/>
  <c r="S72" i="6"/>
  <c r="Z71" i="6"/>
  <c r="S71" i="6"/>
  <c r="Z70" i="6"/>
  <c r="S70" i="6"/>
  <c r="Z69" i="6"/>
  <c r="S69" i="6"/>
  <c r="Z68" i="6"/>
  <c r="S68" i="6"/>
  <c r="Z67" i="6"/>
  <c r="S67" i="6"/>
  <c r="Z66" i="6"/>
  <c r="S66" i="6"/>
  <c r="Z65" i="6"/>
  <c r="S65" i="6"/>
  <c r="Z64" i="6"/>
  <c r="S64" i="6"/>
  <c r="Z63" i="6"/>
  <c r="S63" i="6"/>
  <c r="Z62" i="6"/>
  <c r="S62" i="6"/>
  <c r="Z61" i="6"/>
  <c r="S61" i="6"/>
  <c r="Z60" i="6"/>
  <c r="S60" i="6"/>
  <c r="Z59" i="6"/>
  <c r="S59" i="6"/>
  <c r="Z58" i="6"/>
  <c r="S58" i="6"/>
  <c r="Z57" i="6"/>
  <c r="S57" i="6"/>
  <c r="Z56" i="6"/>
  <c r="S56" i="6"/>
  <c r="Z55" i="6"/>
  <c r="S55" i="6"/>
  <c r="Z54" i="6"/>
  <c r="S54" i="6"/>
  <c r="Z53" i="6"/>
  <c r="S53" i="6"/>
  <c r="Z52" i="6"/>
  <c r="S52" i="6"/>
  <c r="Z51" i="6"/>
  <c r="S51" i="6"/>
  <c r="Z50" i="6"/>
  <c r="S50" i="6"/>
  <c r="Z49" i="6"/>
  <c r="S49" i="6"/>
  <c r="Z48" i="6"/>
  <c r="S48" i="6"/>
  <c r="Z47" i="6"/>
  <c r="S47" i="6"/>
  <c r="Z46" i="6"/>
  <c r="S46" i="6"/>
  <c r="Z45" i="6"/>
  <c r="S45" i="6"/>
  <c r="Z44" i="6"/>
  <c r="S44" i="6"/>
  <c r="Z43" i="6"/>
  <c r="S43" i="6"/>
  <c r="Z42" i="6"/>
  <c r="S42" i="6"/>
  <c r="Z41" i="6"/>
  <c r="S41" i="6"/>
  <c r="Z40" i="6"/>
  <c r="S40" i="6"/>
  <c r="Z39" i="6"/>
  <c r="S39" i="6"/>
  <c r="Z38" i="6"/>
  <c r="S38" i="6"/>
  <c r="Z37" i="6"/>
  <c r="S37" i="6"/>
  <c r="Z36" i="6"/>
  <c r="S36" i="6"/>
  <c r="Z35" i="6"/>
  <c r="S35" i="6"/>
  <c r="Z34" i="6"/>
  <c r="S34" i="6"/>
  <c r="Z33" i="6"/>
  <c r="S33" i="6"/>
  <c r="Z32" i="6"/>
  <c r="S32" i="6"/>
  <c r="Z31" i="6"/>
  <c r="S31" i="6"/>
  <c r="Z30" i="6"/>
  <c r="S30" i="6"/>
  <c r="Z29" i="6"/>
  <c r="S29" i="6"/>
  <c r="Z28" i="6"/>
  <c r="S28" i="6"/>
  <c r="Z27" i="6"/>
  <c r="S27" i="6"/>
  <c r="Z26" i="6"/>
  <c r="S26" i="6"/>
  <c r="Z25" i="6"/>
  <c r="S25" i="6"/>
  <c r="Z24" i="6"/>
  <c r="S24" i="6"/>
  <c r="Z23" i="6"/>
  <c r="S23" i="6"/>
  <c r="Z22" i="6"/>
  <c r="S22" i="6"/>
  <c r="Z21" i="6"/>
  <c r="S21" i="6"/>
  <c r="Z20" i="6"/>
  <c r="S20" i="6"/>
  <c r="Z19" i="6"/>
  <c r="S19" i="6"/>
  <c r="Z18" i="6"/>
  <c r="S18" i="6"/>
  <c r="Z17" i="6"/>
  <c r="S17" i="6"/>
  <c r="Z16" i="6"/>
  <c r="S16" i="6"/>
  <c r="Z15" i="6"/>
  <c r="S15" i="6"/>
  <c r="Z14" i="6"/>
  <c r="S14" i="6"/>
  <c r="Z13" i="6"/>
  <c r="S13" i="6"/>
  <c r="Z12" i="6"/>
  <c r="S12" i="6"/>
  <c r="Z11" i="6"/>
  <c r="S11" i="6"/>
  <c r="Z10" i="6"/>
  <c r="S10" i="6"/>
  <c r="Z9" i="6"/>
  <c r="S9" i="6"/>
  <c r="Z8" i="6"/>
  <c r="S8" i="6"/>
  <c r="Z7" i="6"/>
  <c r="S7" i="6"/>
  <c r="Z6" i="6"/>
  <c r="S6" i="6"/>
  <c r="Z5" i="6"/>
  <c r="S5" i="6"/>
  <c r="R2" i="6"/>
  <c r="N3" i="6" s="1"/>
  <c r="Z5" i="1"/>
  <c r="T6" i="2"/>
  <c r="X6" i="2" s="1"/>
  <c r="T7" i="2"/>
  <c r="X7" i="2" s="1"/>
  <c r="T8" i="2"/>
  <c r="X8" i="2" s="1"/>
  <c r="T9" i="2"/>
  <c r="X9" i="2" s="1"/>
  <c r="T10" i="2"/>
  <c r="X10" i="2" s="1"/>
  <c r="T11" i="2"/>
  <c r="X11" i="2" s="1"/>
  <c r="T12" i="2"/>
  <c r="X12" i="2" s="1"/>
  <c r="T13" i="2"/>
  <c r="X13" i="2" s="1"/>
  <c r="T14" i="2"/>
  <c r="X14" i="2" s="1"/>
  <c r="T15" i="2"/>
  <c r="X15" i="2" s="1"/>
  <c r="T16" i="2"/>
  <c r="X16" i="2" s="1"/>
  <c r="T17" i="2"/>
  <c r="X17" i="2" s="1"/>
  <c r="T18" i="2"/>
  <c r="X18" i="2" s="1"/>
  <c r="T19" i="2"/>
  <c r="X19" i="2" s="1"/>
  <c r="T20" i="2"/>
  <c r="X20" i="2" s="1"/>
  <c r="T21" i="2"/>
  <c r="X21" i="2" s="1"/>
  <c r="T22" i="2"/>
  <c r="X22" i="2" s="1"/>
  <c r="T23" i="2"/>
  <c r="X23" i="2" s="1"/>
  <c r="T24" i="2"/>
  <c r="X24" i="2" s="1"/>
  <c r="T25" i="2"/>
  <c r="X25" i="2" s="1"/>
  <c r="T26" i="2"/>
  <c r="X26" i="2" s="1"/>
  <c r="T27" i="2"/>
  <c r="X27" i="2" s="1"/>
  <c r="T28" i="2"/>
  <c r="X28" i="2" s="1"/>
  <c r="T29" i="2"/>
  <c r="X29" i="2" s="1"/>
  <c r="T30" i="2"/>
  <c r="X30" i="2" s="1"/>
  <c r="T31" i="2"/>
  <c r="X31" i="2" s="1"/>
  <c r="T32" i="2"/>
  <c r="X32" i="2" s="1"/>
  <c r="T33" i="2"/>
  <c r="X33" i="2" s="1"/>
  <c r="T34" i="2"/>
  <c r="X34" i="2" s="1"/>
  <c r="T35" i="2"/>
  <c r="X35" i="2" s="1"/>
  <c r="T36" i="2"/>
  <c r="X36" i="2" s="1"/>
  <c r="T37" i="2"/>
  <c r="X37" i="2" s="1"/>
  <c r="T38" i="2"/>
  <c r="X38" i="2" s="1"/>
  <c r="T39" i="2"/>
  <c r="X39" i="2" s="1"/>
  <c r="T40" i="2"/>
  <c r="X40" i="2" s="1"/>
  <c r="T41" i="2"/>
  <c r="X41" i="2" s="1"/>
  <c r="T42" i="2"/>
  <c r="X42" i="2" s="1"/>
  <c r="T43" i="2"/>
  <c r="X43" i="2" s="1"/>
  <c r="T44" i="2"/>
  <c r="X44" i="2" s="1"/>
  <c r="T45" i="2"/>
  <c r="X45" i="2" s="1"/>
  <c r="T46" i="2"/>
  <c r="X46" i="2" s="1"/>
  <c r="T47" i="2"/>
  <c r="X47" i="2" s="1"/>
  <c r="T48" i="2"/>
  <c r="X48" i="2" s="1"/>
  <c r="T49" i="2"/>
  <c r="X49" i="2" s="1"/>
  <c r="T50" i="2"/>
  <c r="X50" i="2" s="1"/>
  <c r="T51" i="2"/>
  <c r="X51" i="2" s="1"/>
  <c r="T52" i="2"/>
  <c r="X52" i="2" s="1"/>
  <c r="T53" i="2"/>
  <c r="X53" i="2" s="1"/>
  <c r="T54" i="2"/>
  <c r="X54" i="2" s="1"/>
  <c r="T55" i="2"/>
  <c r="X55" i="2" s="1"/>
  <c r="T56" i="2"/>
  <c r="X56" i="2" s="1"/>
  <c r="T57" i="2"/>
  <c r="X57" i="2" s="1"/>
  <c r="T58" i="2"/>
  <c r="X58" i="2" s="1"/>
  <c r="T59" i="2"/>
  <c r="X59" i="2" s="1"/>
  <c r="T60" i="2"/>
  <c r="X60" i="2" s="1"/>
  <c r="T61" i="2"/>
  <c r="X61" i="2" s="1"/>
  <c r="T62" i="2"/>
  <c r="X62" i="2" s="1"/>
  <c r="T63" i="2"/>
  <c r="X63" i="2" s="1"/>
  <c r="T64" i="2"/>
  <c r="X64" i="2" s="1"/>
  <c r="T65" i="2"/>
  <c r="X65" i="2" s="1"/>
  <c r="T66" i="2"/>
  <c r="X66" i="2" s="1"/>
  <c r="T67" i="2"/>
  <c r="X67" i="2" s="1"/>
  <c r="T68" i="2"/>
  <c r="X68" i="2" s="1"/>
  <c r="T69" i="2"/>
  <c r="X69" i="2" s="1"/>
  <c r="T70" i="2"/>
  <c r="X70" i="2" s="1"/>
  <c r="T71" i="2"/>
  <c r="X71" i="2" s="1"/>
  <c r="T72" i="2"/>
  <c r="X72" i="2" s="1"/>
  <c r="T73" i="2"/>
  <c r="X73" i="2" s="1"/>
  <c r="T74" i="2"/>
  <c r="X74" i="2" s="1"/>
  <c r="T75" i="2"/>
  <c r="X75" i="2" s="1"/>
  <c r="T76" i="2"/>
  <c r="X76" i="2" s="1"/>
  <c r="T77" i="2"/>
  <c r="X77" i="2" s="1"/>
  <c r="T78" i="2"/>
  <c r="X78" i="2" s="1"/>
  <c r="T79" i="2"/>
  <c r="X79" i="2" s="1"/>
  <c r="T80" i="2"/>
  <c r="X80" i="2" s="1"/>
  <c r="T81" i="2"/>
  <c r="X81" i="2" s="1"/>
  <c r="T82" i="2"/>
  <c r="X82" i="2" s="1"/>
  <c r="T83" i="2"/>
  <c r="X83" i="2" s="1"/>
  <c r="T84" i="2"/>
  <c r="X84" i="2" s="1"/>
  <c r="T85" i="2"/>
  <c r="X85" i="2" s="1"/>
  <c r="T86" i="2"/>
  <c r="X86" i="2" s="1"/>
  <c r="T87" i="2"/>
  <c r="X87" i="2" s="1"/>
  <c r="T88" i="2"/>
  <c r="X88" i="2" s="1"/>
  <c r="T89" i="2"/>
  <c r="X89" i="2" s="1"/>
  <c r="T90" i="2"/>
  <c r="X90" i="2" s="1"/>
  <c r="T91" i="2"/>
  <c r="X91" i="2" s="1"/>
  <c r="T92" i="2"/>
  <c r="X92" i="2" s="1"/>
  <c r="T93" i="2"/>
  <c r="X93" i="2" s="1"/>
  <c r="T94" i="2"/>
  <c r="X94" i="2" s="1"/>
  <c r="T95" i="2"/>
  <c r="X95" i="2" s="1"/>
  <c r="T96" i="2"/>
  <c r="X96" i="2" s="1"/>
  <c r="T97" i="2"/>
  <c r="X97" i="2" s="1"/>
  <c r="T98" i="2"/>
  <c r="X98" i="2" s="1"/>
  <c r="T99" i="2"/>
  <c r="X99" i="2" s="1"/>
  <c r="T100" i="2"/>
  <c r="X100" i="2" s="1"/>
  <c r="T101" i="2"/>
  <c r="X101" i="2" s="1"/>
  <c r="T102" i="2"/>
  <c r="X102" i="2" s="1"/>
  <c r="T103" i="2"/>
  <c r="X103" i="2" s="1"/>
  <c r="T104" i="2"/>
  <c r="X104" i="2" s="1"/>
  <c r="T105" i="2"/>
  <c r="X105" i="2" s="1"/>
  <c r="T106" i="2"/>
  <c r="X106" i="2" s="1"/>
  <c r="T107" i="2"/>
  <c r="X107" i="2" s="1"/>
  <c r="T108" i="2"/>
  <c r="X108" i="2" s="1"/>
  <c r="T109" i="2"/>
  <c r="X109" i="2" s="1"/>
  <c r="T110" i="2"/>
  <c r="X110" i="2" s="1"/>
  <c r="T111" i="2"/>
  <c r="X111" i="2" s="1"/>
  <c r="T112" i="2"/>
  <c r="X112" i="2" s="1"/>
  <c r="T113" i="2"/>
  <c r="X113" i="2" s="1"/>
  <c r="T114" i="2"/>
  <c r="X114" i="2" s="1"/>
  <c r="T115" i="2"/>
  <c r="X115" i="2" s="1"/>
  <c r="T116" i="2"/>
  <c r="X116" i="2" s="1"/>
  <c r="T117" i="2"/>
  <c r="X117" i="2" s="1"/>
  <c r="T118" i="2"/>
  <c r="X118" i="2" s="1"/>
  <c r="T119" i="2"/>
  <c r="X119" i="2" s="1"/>
  <c r="T120" i="2"/>
  <c r="X120" i="2" s="1"/>
  <c r="T121" i="2"/>
  <c r="X121" i="2" s="1"/>
  <c r="T122" i="2"/>
  <c r="X122" i="2" s="1"/>
  <c r="T123" i="2"/>
  <c r="X123" i="2" s="1"/>
  <c r="T124" i="2"/>
  <c r="X124" i="2" s="1"/>
  <c r="T125" i="2"/>
  <c r="X125" i="2" s="1"/>
  <c r="T126" i="2"/>
  <c r="X126" i="2" s="1"/>
  <c r="T127" i="2"/>
  <c r="X127" i="2" s="1"/>
  <c r="T128" i="2"/>
  <c r="C3" i="2"/>
  <c r="D3" i="2"/>
  <c r="E3" i="2"/>
  <c r="F3" i="2"/>
  <c r="G3" i="2"/>
  <c r="H3" i="2"/>
  <c r="I3" i="2"/>
  <c r="J3" i="2"/>
  <c r="K3" i="2"/>
  <c r="L3" i="2"/>
  <c r="M3" i="2"/>
  <c r="N3" i="2"/>
  <c r="O3" i="2"/>
  <c r="P3" i="2"/>
  <c r="Q3" i="2"/>
  <c r="B3" i="2"/>
  <c r="S126" i="1"/>
  <c r="S127"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8" i="1"/>
  <c r="R2" i="1"/>
  <c r="D3" i="1" s="1"/>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6" i="4"/>
  <c r="S128"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8" i="4"/>
  <c r="R2" i="4"/>
  <c r="S117" i="3"/>
  <c r="S118" i="3"/>
  <c r="S119" i="3"/>
  <c r="S120" i="3"/>
  <c r="S121" i="3"/>
  <c r="S122" i="3"/>
  <c r="S123" i="3"/>
  <c r="S124" i="3"/>
  <c r="S125" i="3"/>
  <c r="S126" i="3"/>
  <c r="S127" i="3"/>
  <c r="S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5"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R2" i="2"/>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V1" i="4" l="1"/>
  <c r="T6" i="4" s="1"/>
  <c r="K3" i="6"/>
  <c r="C3" i="6"/>
  <c r="G3" i="6"/>
  <c r="H3" i="6"/>
  <c r="O3" i="6"/>
  <c r="P3" i="6"/>
  <c r="S125" i="6"/>
  <c r="I3" i="6"/>
  <c r="Q3" i="6"/>
  <c r="B3" i="6"/>
  <c r="J3" i="6"/>
  <c r="L3" i="6"/>
  <c r="E3" i="6"/>
  <c r="M3" i="6"/>
  <c r="D3" i="6"/>
  <c r="F3" i="6"/>
  <c r="I3" i="1"/>
  <c r="Q3" i="1"/>
  <c r="O3" i="1"/>
  <c r="G3" i="1"/>
  <c r="F3" i="1"/>
  <c r="N3" i="1"/>
  <c r="E3" i="1"/>
  <c r="H3" i="1"/>
  <c r="L3" i="1"/>
  <c r="B3" i="1"/>
  <c r="C3" i="1"/>
  <c r="M3" i="1"/>
  <c r="K3" i="1"/>
  <c r="J3" i="1"/>
  <c r="P3" i="1"/>
  <c r="T129" i="4" l="1"/>
  <c r="T128" i="3"/>
  <c r="T128" i="4"/>
  <c r="T129" i="3"/>
  <c r="T13" i="3"/>
  <c r="T127" i="3"/>
  <c r="T127" i="4"/>
  <c r="T9" i="4"/>
  <c r="T7" i="4"/>
  <c r="T8" i="4"/>
  <c r="T10" i="4"/>
  <c r="T17" i="4"/>
  <c r="T61" i="4"/>
  <c r="T15" i="4"/>
  <c r="T38" i="4"/>
  <c r="T118" i="3"/>
  <c r="T7" i="3"/>
  <c r="T8" i="3"/>
  <c r="T32" i="3"/>
  <c r="T24" i="3"/>
  <c r="T103" i="3"/>
  <c r="T56" i="3"/>
  <c r="T70" i="3"/>
  <c r="T122" i="3"/>
  <c r="T80" i="3"/>
  <c r="T26" i="3"/>
  <c r="T28" i="3"/>
  <c r="T39" i="3"/>
  <c r="T18" i="3"/>
  <c r="T88" i="3"/>
  <c r="T73" i="3"/>
  <c r="T35" i="3"/>
  <c r="T63" i="3"/>
  <c r="T96" i="3"/>
  <c r="T19" i="3"/>
  <c r="T71" i="3"/>
  <c r="T120" i="3"/>
  <c r="T27" i="3"/>
  <c r="T79" i="3"/>
  <c r="T87" i="3"/>
  <c r="T25" i="3"/>
  <c r="T81" i="3"/>
  <c r="T82" i="3"/>
  <c r="T16" i="3"/>
  <c r="T95" i="3"/>
  <c r="T33" i="3"/>
  <c r="T97" i="3"/>
  <c r="T90" i="3"/>
  <c r="T91" i="3"/>
  <c r="T99" i="3"/>
  <c r="T17" i="3"/>
  <c r="T65" i="3"/>
  <c r="T58" i="3"/>
  <c r="T52" i="3"/>
  <c r="T116" i="3"/>
  <c r="T125" i="6"/>
  <c r="Y125" i="6" s="1"/>
  <c r="T124" i="6"/>
  <c r="Y124" i="6" s="1"/>
  <c r="T116" i="6"/>
  <c r="Y116" i="6" s="1"/>
  <c r="T108" i="6"/>
  <c r="Y108" i="6" s="1"/>
  <c r="T100" i="6"/>
  <c r="Y100" i="6" s="1"/>
  <c r="T92" i="6"/>
  <c r="Y92" i="6" s="1"/>
  <c r="T84" i="6"/>
  <c r="Y84" i="6" s="1"/>
  <c r="T76" i="6"/>
  <c r="Y76" i="6" s="1"/>
  <c r="T68" i="6"/>
  <c r="Y68" i="6" s="1"/>
  <c r="T60" i="6"/>
  <c r="Y60" i="6" s="1"/>
  <c r="T52" i="6"/>
  <c r="Y52" i="6" s="1"/>
  <c r="T44" i="6"/>
  <c r="Y44" i="6" s="1"/>
  <c r="T36" i="6"/>
  <c r="Y36" i="6" s="1"/>
  <c r="T28" i="6"/>
  <c r="Y28" i="6" s="1"/>
  <c r="T20" i="6"/>
  <c r="Y20" i="6" s="1"/>
  <c r="T12" i="6"/>
  <c r="Y12" i="6" s="1"/>
  <c r="T106" i="6"/>
  <c r="Y106" i="6" s="1"/>
  <c r="T98" i="6"/>
  <c r="Y98" i="6" s="1"/>
  <c r="T90" i="6"/>
  <c r="Y90" i="6" s="1"/>
  <c r="T74" i="6"/>
  <c r="Y74" i="6" s="1"/>
  <c r="T50" i="6"/>
  <c r="Y50" i="6" s="1"/>
  <c r="T26" i="6"/>
  <c r="Y26" i="6" s="1"/>
  <c r="T18" i="6"/>
  <c r="Y18" i="6" s="1"/>
  <c r="T127" i="6"/>
  <c r="Y127" i="6" s="1"/>
  <c r="T119" i="6"/>
  <c r="Y119" i="6" s="1"/>
  <c r="T111" i="6"/>
  <c r="Y111" i="6" s="1"/>
  <c r="T103" i="6"/>
  <c r="Y103" i="6" s="1"/>
  <c r="T95" i="6"/>
  <c r="Y95" i="6" s="1"/>
  <c r="T87" i="6"/>
  <c r="Y87" i="6" s="1"/>
  <c r="T79" i="6"/>
  <c r="Y79" i="6" s="1"/>
  <c r="T71" i="6"/>
  <c r="Y71" i="6" s="1"/>
  <c r="T63" i="6"/>
  <c r="Y63" i="6" s="1"/>
  <c r="T55" i="6"/>
  <c r="Y55" i="6" s="1"/>
  <c r="T47" i="6"/>
  <c r="Y47" i="6" s="1"/>
  <c r="T39" i="6"/>
  <c r="Y39" i="6" s="1"/>
  <c r="T31" i="6"/>
  <c r="Y31" i="6" s="1"/>
  <c r="T23" i="6"/>
  <c r="Y23" i="6" s="1"/>
  <c r="T15" i="6"/>
  <c r="Y15" i="6" s="1"/>
  <c r="T7" i="6"/>
  <c r="Y7" i="6" s="1"/>
  <c r="T122" i="6"/>
  <c r="Y122" i="6" s="1"/>
  <c r="T114" i="6"/>
  <c r="Y114" i="6" s="1"/>
  <c r="T82" i="6"/>
  <c r="Y82" i="6" s="1"/>
  <c r="T66" i="6"/>
  <c r="Y66" i="6" s="1"/>
  <c r="T58" i="6"/>
  <c r="Y58" i="6" s="1"/>
  <c r="T42" i="6"/>
  <c r="Y42" i="6" s="1"/>
  <c r="T34" i="6"/>
  <c r="Y34" i="6" s="1"/>
  <c r="T10" i="6"/>
  <c r="Y10" i="6" s="1"/>
  <c r="T117" i="6"/>
  <c r="Y117" i="6" s="1"/>
  <c r="T109" i="6"/>
  <c r="Y109" i="6" s="1"/>
  <c r="T101" i="6"/>
  <c r="Y101" i="6" s="1"/>
  <c r="T93" i="6"/>
  <c r="Y93" i="6" s="1"/>
  <c r="T85" i="6"/>
  <c r="Y85" i="6" s="1"/>
  <c r="T77" i="6"/>
  <c r="Y77" i="6" s="1"/>
  <c r="T69" i="6"/>
  <c r="Y69" i="6" s="1"/>
  <c r="T61" i="6"/>
  <c r="Y61" i="6" s="1"/>
  <c r="T53" i="6"/>
  <c r="Y53" i="6" s="1"/>
  <c r="T45" i="6"/>
  <c r="Y45" i="6" s="1"/>
  <c r="T37" i="6"/>
  <c r="Y37" i="6" s="1"/>
  <c r="T29" i="6"/>
  <c r="Y29" i="6" s="1"/>
  <c r="T21" i="6"/>
  <c r="Y21" i="6" s="1"/>
  <c r="T13" i="6"/>
  <c r="Y13" i="6" s="1"/>
  <c r="T5" i="6"/>
  <c r="T128" i="6"/>
  <c r="Y128" i="6" s="1"/>
  <c r="T120" i="6"/>
  <c r="Y120" i="6" s="1"/>
  <c r="T112" i="6"/>
  <c r="Y112" i="6" s="1"/>
  <c r="T104" i="6"/>
  <c r="Y104" i="6" s="1"/>
  <c r="T96" i="6"/>
  <c r="Y96" i="6" s="1"/>
  <c r="T88" i="6"/>
  <c r="Y88" i="6" s="1"/>
  <c r="T80" i="6"/>
  <c r="Y80" i="6" s="1"/>
  <c r="T72" i="6"/>
  <c r="Y72" i="6" s="1"/>
  <c r="T64" i="6"/>
  <c r="Y64" i="6" s="1"/>
  <c r="T56" i="6"/>
  <c r="Y56" i="6" s="1"/>
  <c r="T48" i="6"/>
  <c r="Y48" i="6" s="1"/>
  <c r="T40" i="6"/>
  <c r="Y40" i="6" s="1"/>
  <c r="T32" i="6"/>
  <c r="Y32" i="6" s="1"/>
  <c r="T24" i="6"/>
  <c r="Y24" i="6" s="1"/>
  <c r="T16" i="6"/>
  <c r="Y16" i="6" s="1"/>
  <c r="T8" i="6"/>
  <c r="Y8" i="6" s="1"/>
  <c r="T67" i="6"/>
  <c r="Y67" i="6" s="1"/>
  <c r="T59" i="6"/>
  <c r="Y59" i="6" s="1"/>
  <c r="T51" i="6"/>
  <c r="Y51" i="6" s="1"/>
  <c r="T43" i="6"/>
  <c r="Y43" i="6" s="1"/>
  <c r="T35" i="6"/>
  <c r="Y35" i="6" s="1"/>
  <c r="T19" i="6"/>
  <c r="Y19" i="6" s="1"/>
  <c r="T11" i="6"/>
  <c r="Y11" i="6" s="1"/>
  <c r="T126" i="6"/>
  <c r="Y126" i="6" s="1"/>
  <c r="T118" i="6"/>
  <c r="Y118" i="6" s="1"/>
  <c r="T110" i="6"/>
  <c r="Y110" i="6" s="1"/>
  <c r="T102" i="6"/>
  <c r="Y102" i="6" s="1"/>
  <c r="T94" i="6"/>
  <c r="Y94" i="6" s="1"/>
  <c r="T86" i="6"/>
  <c r="Y86" i="6" s="1"/>
  <c r="T78" i="6"/>
  <c r="Y78" i="6" s="1"/>
  <c r="T123" i="6"/>
  <c r="Y123" i="6" s="1"/>
  <c r="T115" i="6"/>
  <c r="Y115" i="6" s="1"/>
  <c r="T107" i="6"/>
  <c r="Y107" i="6" s="1"/>
  <c r="T99" i="6"/>
  <c r="Y99" i="6" s="1"/>
  <c r="T91" i="6"/>
  <c r="Y91" i="6" s="1"/>
  <c r="T83" i="6"/>
  <c r="Y83" i="6" s="1"/>
  <c r="T75" i="6"/>
  <c r="Y75" i="6" s="1"/>
  <c r="T27" i="6"/>
  <c r="Y27" i="6" s="1"/>
  <c r="T73" i="6"/>
  <c r="Y73" i="6" s="1"/>
  <c r="T97" i="6"/>
  <c r="Y97" i="6" s="1"/>
  <c r="T121" i="6"/>
  <c r="Y121" i="6" s="1"/>
  <c r="T113" i="6"/>
  <c r="Y113" i="6" s="1"/>
  <c r="T70" i="6"/>
  <c r="Y70" i="6" s="1"/>
  <c r="T81" i="6"/>
  <c r="Y81" i="6" s="1"/>
  <c r="T105" i="6"/>
  <c r="Y105" i="6" s="1"/>
  <c r="T49" i="6"/>
  <c r="Y49" i="6" s="1"/>
  <c r="T41" i="6"/>
  <c r="Y41" i="6" s="1"/>
  <c r="T33" i="6"/>
  <c r="Y33" i="6" s="1"/>
  <c r="T25" i="6"/>
  <c r="Y25" i="6" s="1"/>
  <c r="T17" i="6"/>
  <c r="Y17" i="6" s="1"/>
  <c r="T9" i="6"/>
  <c r="Y9" i="6" s="1"/>
  <c r="T57" i="6"/>
  <c r="Y57" i="6" s="1"/>
  <c r="T54" i="6"/>
  <c r="Y54" i="6" s="1"/>
  <c r="T46" i="6"/>
  <c r="Y46" i="6" s="1"/>
  <c r="T38" i="6"/>
  <c r="Y38" i="6" s="1"/>
  <c r="T30" i="6"/>
  <c r="Y30" i="6" s="1"/>
  <c r="T22" i="6"/>
  <c r="Y22" i="6" s="1"/>
  <c r="T14" i="6"/>
  <c r="Y14" i="6" s="1"/>
  <c r="T6" i="6"/>
  <c r="Y6" i="6" s="1"/>
  <c r="T89" i="6"/>
  <c r="Y89" i="6" s="1"/>
  <c r="T65" i="6"/>
  <c r="Y65" i="6" s="1"/>
  <c r="T62" i="6"/>
  <c r="Y62" i="6" s="1"/>
  <c r="T83" i="1"/>
  <c r="Y83" i="1" s="1"/>
  <c r="T61" i="1"/>
  <c r="Y61" i="1" s="1"/>
  <c r="T103" i="1"/>
  <c r="Y103" i="1" s="1"/>
  <c r="T98" i="1"/>
  <c r="Y98" i="1" s="1"/>
  <c r="T80" i="1"/>
  <c r="Y80" i="1" s="1"/>
  <c r="T74" i="1"/>
  <c r="Y74" i="1" s="1"/>
  <c r="T24" i="1"/>
  <c r="Y24" i="1" s="1"/>
  <c r="T75" i="1"/>
  <c r="Y75" i="1" s="1"/>
  <c r="T73" i="1"/>
  <c r="Y73" i="1" s="1"/>
  <c r="T62" i="1"/>
  <c r="Y62" i="1" s="1"/>
  <c r="T40" i="1"/>
  <c r="Y40" i="1" s="1"/>
  <c r="T77" i="1"/>
  <c r="Y77" i="1" s="1"/>
  <c r="T31" i="1"/>
  <c r="Y31" i="1" s="1"/>
  <c r="T123" i="1"/>
  <c r="Y123" i="1" s="1"/>
  <c r="T85" i="1"/>
  <c r="Y85" i="1" s="1"/>
  <c r="T127" i="1"/>
  <c r="Y127" i="1" s="1"/>
  <c r="T104" i="1"/>
  <c r="Y104" i="1" s="1"/>
  <c r="T76" i="1"/>
  <c r="Y76" i="1" s="1"/>
  <c r="T119" i="1"/>
  <c r="Y119" i="1" s="1"/>
  <c r="T89" i="1"/>
  <c r="Y89" i="1" s="1"/>
  <c r="T78" i="1"/>
  <c r="Y78" i="1" s="1"/>
  <c r="T48" i="1"/>
  <c r="Y48" i="1" s="1"/>
  <c r="T97" i="1"/>
  <c r="Y97" i="1" s="1"/>
  <c r="T108" i="1"/>
  <c r="Y108" i="1" s="1"/>
  <c r="T43" i="1"/>
  <c r="Y43" i="1" s="1"/>
  <c r="T117" i="1"/>
  <c r="Y117" i="1" s="1"/>
  <c r="T88" i="1"/>
  <c r="Y88" i="1" s="1"/>
  <c r="T125" i="1"/>
  <c r="Y125" i="1" s="1"/>
  <c r="T34" i="1"/>
  <c r="Y34" i="1" s="1"/>
  <c r="T22" i="1"/>
  <c r="Y22" i="1" s="1"/>
  <c r="T100" i="1"/>
  <c r="Y100" i="1" s="1"/>
  <c r="T107" i="1"/>
  <c r="Y107" i="1" s="1"/>
  <c r="T90" i="1"/>
  <c r="Y90" i="1" s="1"/>
  <c r="T128" i="1"/>
  <c r="Y128" i="1" s="1"/>
  <c r="T86" i="1"/>
  <c r="Y86" i="1" s="1"/>
  <c r="T39" i="1"/>
  <c r="Y39" i="1" s="1"/>
  <c r="T35" i="1"/>
  <c r="Y35" i="1" s="1"/>
  <c r="T118" i="1"/>
  <c r="Y118" i="1" s="1"/>
  <c r="T55" i="1"/>
  <c r="Y55" i="1" s="1"/>
  <c r="T99" i="1"/>
  <c r="Y99" i="1" s="1"/>
  <c r="T9" i="1"/>
  <c r="Y9" i="1" s="1"/>
  <c r="T10" i="1"/>
  <c r="Y10" i="1" s="1"/>
  <c r="T11" i="1"/>
  <c r="Y11" i="1" s="1"/>
  <c r="T126" i="1"/>
  <c r="Y126" i="1" s="1"/>
  <c r="T63" i="1"/>
  <c r="Y63" i="1" s="1"/>
  <c r="T60" i="1"/>
  <c r="Y60" i="1" s="1"/>
  <c r="T25" i="1"/>
  <c r="Y25" i="1" s="1"/>
  <c r="T26" i="1"/>
  <c r="Y26" i="1" s="1"/>
  <c r="T13" i="1"/>
  <c r="Y13" i="1" s="1"/>
  <c r="T14" i="1"/>
  <c r="Y14" i="1" s="1"/>
  <c r="T71" i="1"/>
  <c r="Y71" i="1" s="1"/>
  <c r="T92" i="1"/>
  <c r="Y92" i="1" s="1"/>
  <c r="T112" i="1"/>
  <c r="Y112" i="1" s="1"/>
  <c r="T33" i="1"/>
  <c r="Y33" i="1" s="1"/>
  <c r="T21" i="1"/>
  <c r="Y21" i="1" s="1"/>
  <c r="T95" i="1"/>
  <c r="Y95" i="1" s="1"/>
  <c r="T16" i="1"/>
  <c r="Y16" i="1" s="1"/>
  <c r="T59" i="1"/>
  <c r="Y59" i="1" s="1"/>
  <c r="T65" i="1"/>
  <c r="Y65" i="1" s="1"/>
  <c r="T66" i="1"/>
  <c r="Y66" i="1" s="1"/>
  <c r="T53" i="1"/>
  <c r="Y53" i="1" s="1"/>
  <c r="T54" i="1"/>
  <c r="Y54" i="1" s="1"/>
  <c r="T52" i="1"/>
  <c r="Y52" i="1" s="1"/>
  <c r="T44" i="1"/>
  <c r="Y44" i="1" s="1"/>
  <c r="T47" i="1"/>
  <c r="Y47" i="1" s="1"/>
  <c r="T111" i="1"/>
  <c r="Y111" i="1" s="1"/>
  <c r="T28" i="1"/>
  <c r="Y28" i="1" s="1"/>
  <c r="T32" i="1"/>
  <c r="Y32" i="1" s="1"/>
  <c r="T96" i="1"/>
  <c r="Y96" i="1" s="1"/>
  <c r="T91" i="1"/>
  <c r="Y91" i="1" s="1"/>
  <c r="T17" i="1"/>
  <c r="Y17" i="1" s="1"/>
  <c r="T81" i="1"/>
  <c r="Y81" i="1" s="1"/>
  <c r="T18" i="1"/>
  <c r="Y18" i="1" s="1"/>
  <c r="T82" i="1"/>
  <c r="Y82" i="1" s="1"/>
  <c r="T12" i="1"/>
  <c r="Y12" i="1" s="1"/>
  <c r="T69" i="1"/>
  <c r="Y69" i="1" s="1"/>
  <c r="T6" i="1"/>
  <c r="Y6" i="1" s="1"/>
  <c r="T70" i="1"/>
  <c r="Y70" i="1" s="1"/>
  <c r="T36" i="1"/>
  <c r="Y36" i="1" s="1"/>
  <c r="T42" i="1"/>
  <c r="Y42" i="1" s="1"/>
  <c r="T30" i="1"/>
  <c r="Y30" i="1" s="1"/>
  <c r="T94" i="1"/>
  <c r="Y94" i="1" s="1"/>
  <c r="T116" i="1"/>
  <c r="Y116" i="1" s="1"/>
  <c r="T27" i="1"/>
  <c r="Y27" i="1" s="1"/>
  <c r="T56" i="1"/>
  <c r="Y56" i="1" s="1"/>
  <c r="T20" i="1"/>
  <c r="Y20" i="1" s="1"/>
  <c r="T106" i="1"/>
  <c r="Y106" i="1" s="1"/>
  <c r="T79" i="1"/>
  <c r="Y79" i="1" s="1"/>
  <c r="T68" i="1"/>
  <c r="Y68" i="1" s="1"/>
  <c r="T49" i="1"/>
  <c r="Y49" i="1" s="1"/>
  <c r="T113" i="1"/>
  <c r="Y113" i="1" s="1"/>
  <c r="T50" i="1"/>
  <c r="Y50" i="1" s="1"/>
  <c r="T114" i="1"/>
  <c r="Y114" i="1" s="1"/>
  <c r="T37" i="1"/>
  <c r="Y37" i="1" s="1"/>
  <c r="T101" i="1"/>
  <c r="Y101" i="1" s="1"/>
  <c r="T38" i="1"/>
  <c r="Y38" i="1" s="1"/>
  <c r="T102" i="1"/>
  <c r="Y102" i="1" s="1"/>
  <c r="T115" i="1"/>
  <c r="Y115" i="1" s="1"/>
  <c r="T124" i="1"/>
  <c r="Y124" i="1" s="1"/>
  <c r="T120" i="1"/>
  <c r="Y120" i="1" s="1"/>
  <c r="T41" i="1"/>
  <c r="Y41" i="1" s="1"/>
  <c r="T105" i="1"/>
  <c r="Y105" i="1" s="1"/>
  <c r="T29" i="1"/>
  <c r="Y29" i="1" s="1"/>
  <c r="T93" i="1"/>
  <c r="Y93" i="1" s="1"/>
  <c r="T15" i="1"/>
  <c r="Y15" i="1" s="1"/>
  <c r="T51" i="1"/>
  <c r="Y51" i="1" s="1"/>
  <c r="T64" i="1"/>
  <c r="Y64" i="1" s="1"/>
  <c r="T23" i="1"/>
  <c r="Y23" i="1" s="1"/>
  <c r="T87" i="1"/>
  <c r="Y87" i="1" s="1"/>
  <c r="T67" i="1"/>
  <c r="Y67" i="1" s="1"/>
  <c r="T8" i="1"/>
  <c r="Y8" i="1" s="1"/>
  <c r="T72" i="1"/>
  <c r="Y72" i="1" s="1"/>
  <c r="T19" i="1"/>
  <c r="Y19" i="1" s="1"/>
  <c r="T84" i="1"/>
  <c r="Y84" i="1" s="1"/>
  <c r="T57" i="1"/>
  <c r="Y57" i="1" s="1"/>
  <c r="T121" i="1"/>
  <c r="Y121" i="1" s="1"/>
  <c r="T58" i="1"/>
  <c r="Y58" i="1" s="1"/>
  <c r="T122" i="1"/>
  <c r="Y122" i="1" s="1"/>
  <c r="T45" i="1"/>
  <c r="Y45" i="1" s="1"/>
  <c r="T109" i="1"/>
  <c r="Y109" i="1" s="1"/>
  <c r="T46" i="1"/>
  <c r="Y46" i="1" s="1"/>
  <c r="T110" i="1"/>
  <c r="Y110" i="1" s="1"/>
  <c r="T7" i="1"/>
  <c r="Y7" i="1" s="1"/>
  <c r="T74" i="4"/>
  <c r="T67" i="3"/>
  <c r="T79" i="4"/>
  <c r="T65" i="4"/>
  <c r="T21" i="3"/>
  <c r="T84" i="3"/>
  <c r="T112" i="4"/>
  <c r="T48" i="4"/>
  <c r="T37" i="3"/>
  <c r="T101" i="3"/>
  <c r="T71" i="4"/>
  <c r="T15" i="3"/>
  <c r="T86" i="3"/>
  <c r="T86" i="4"/>
  <c r="T22" i="4"/>
  <c r="T77" i="4"/>
  <c r="T13" i="4"/>
  <c r="T100" i="4"/>
  <c r="T36" i="4"/>
  <c r="T83" i="4"/>
  <c r="T19" i="4"/>
  <c r="T78" i="4"/>
  <c r="T14" i="4"/>
  <c r="T69" i="4"/>
  <c r="T9" i="3"/>
  <c r="T64" i="3"/>
  <c r="T92" i="4"/>
  <c r="T28" i="4"/>
  <c r="T89" i="3"/>
  <c r="T75" i="4"/>
  <c r="T11" i="4"/>
  <c r="T66" i="3"/>
  <c r="T66" i="4"/>
  <c r="T12" i="3"/>
  <c r="T75" i="3"/>
  <c r="T121" i="4"/>
  <c r="T57" i="4"/>
  <c r="T29" i="3"/>
  <c r="T92" i="3"/>
  <c r="T104" i="4"/>
  <c r="T40" i="4"/>
  <c r="T45" i="3"/>
  <c r="T109" i="3"/>
  <c r="T63" i="4"/>
  <c r="T23" i="3"/>
  <c r="T94" i="3"/>
  <c r="T72" i="3"/>
  <c r="T10" i="3"/>
  <c r="T125" i="3"/>
  <c r="T84" i="4"/>
  <c r="T20" i="4"/>
  <c r="T113" i="3"/>
  <c r="T67" i="4"/>
  <c r="T11" i="3"/>
  <c r="T74" i="3"/>
  <c r="T122" i="4"/>
  <c r="T58" i="4"/>
  <c r="T20" i="3"/>
  <c r="T83" i="3"/>
  <c r="T113" i="4"/>
  <c r="T49" i="4"/>
  <c r="T36" i="3"/>
  <c r="T100" i="3"/>
  <c r="T96" i="4"/>
  <c r="T32" i="4"/>
  <c r="T53" i="3"/>
  <c r="T117" i="3"/>
  <c r="T55" i="4"/>
  <c r="T31" i="3"/>
  <c r="T110" i="3"/>
  <c r="T117" i="4"/>
  <c r="T87" i="4"/>
  <c r="T76" i="4"/>
  <c r="T12" i="4"/>
  <c r="T59" i="4"/>
  <c r="T114" i="4"/>
  <c r="T50" i="4"/>
  <c r="T105" i="4"/>
  <c r="T41" i="4"/>
  <c r="T44" i="3"/>
  <c r="T108" i="3"/>
  <c r="T88" i="4"/>
  <c r="T24" i="4"/>
  <c r="T61" i="3"/>
  <c r="T47" i="4"/>
  <c r="T38" i="3"/>
  <c r="T126" i="3"/>
  <c r="T70" i="4"/>
  <c r="T118" i="4"/>
  <c r="T54" i="4"/>
  <c r="T109" i="4"/>
  <c r="T45" i="4"/>
  <c r="T68" i="4"/>
  <c r="T115" i="4"/>
  <c r="T51" i="4"/>
  <c r="T106" i="4"/>
  <c r="T42" i="4"/>
  <c r="T97" i="4"/>
  <c r="T33" i="4"/>
  <c r="T80" i="4"/>
  <c r="T16" i="4"/>
  <c r="T69" i="3"/>
  <c r="T119" i="4"/>
  <c r="T39" i="4"/>
  <c r="T46" i="3"/>
  <c r="T102" i="3"/>
  <c r="T62" i="4"/>
  <c r="T123" i="4"/>
  <c r="T110" i="4"/>
  <c r="T46" i="4"/>
  <c r="T101" i="4"/>
  <c r="T37" i="4"/>
  <c r="T124" i="4"/>
  <c r="T60" i="4"/>
  <c r="T41" i="3"/>
  <c r="T107" i="4"/>
  <c r="T43" i="4"/>
  <c r="T34" i="3"/>
  <c r="T98" i="3"/>
  <c r="T98" i="4"/>
  <c r="T34" i="4"/>
  <c r="T43" i="3"/>
  <c r="T107" i="3"/>
  <c r="T89" i="4"/>
  <c r="T25" i="4"/>
  <c r="T60" i="3"/>
  <c r="T124" i="3"/>
  <c r="T72" i="4"/>
  <c r="T14" i="3"/>
  <c r="T77" i="3"/>
  <c r="T111" i="4"/>
  <c r="T31" i="4"/>
  <c r="T54" i="3"/>
  <c r="T125" i="4"/>
  <c r="T126" i="4"/>
  <c r="T53" i="4"/>
  <c r="T102" i="4"/>
  <c r="T47" i="3"/>
  <c r="T111" i="3"/>
  <c r="T93" i="4"/>
  <c r="T29" i="4"/>
  <c r="T40" i="3"/>
  <c r="T104" i="3"/>
  <c r="T105" i="3"/>
  <c r="T116" i="4"/>
  <c r="T52" i="4"/>
  <c r="T35" i="4"/>
  <c r="T42" i="3"/>
  <c r="T106" i="3"/>
  <c r="T90" i="4"/>
  <c r="T26" i="4"/>
  <c r="T51" i="3"/>
  <c r="T115" i="3"/>
  <c r="T81" i="4"/>
  <c r="T68" i="3"/>
  <c r="T64" i="4"/>
  <c r="T22" i="3"/>
  <c r="T85" i="3"/>
  <c r="T103" i="4"/>
  <c r="T23" i="4"/>
  <c r="T62" i="3"/>
  <c r="T49" i="3"/>
  <c r="T99" i="4"/>
  <c r="T94" i="4"/>
  <c r="T30" i="4"/>
  <c r="T55" i="3"/>
  <c r="T119" i="3"/>
  <c r="T85" i="4"/>
  <c r="T21" i="4"/>
  <c r="T48" i="3"/>
  <c r="T112" i="3"/>
  <c r="T121" i="3"/>
  <c r="T108" i="4"/>
  <c r="T44" i="4"/>
  <c r="T57" i="3"/>
  <c r="T91" i="4"/>
  <c r="T27" i="4"/>
  <c r="T50" i="3"/>
  <c r="T114" i="3"/>
  <c r="T82" i="4"/>
  <c r="T18" i="4"/>
  <c r="T59" i="3"/>
  <c r="T123" i="3"/>
  <c r="T73" i="4"/>
  <c r="T76" i="3"/>
  <c r="T120" i="4"/>
  <c r="T56" i="4"/>
  <c r="T30" i="3"/>
  <c r="T93" i="3"/>
  <c r="T95" i="4"/>
  <c r="T7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<sst xmlns="http://schemas.openxmlformats.org/spreadsheetml/2006/main" count="1025" uniqueCount="61">
  <si>
    <t>J CC</t>
  </si>
  <si>
    <t>J RB</t>
  </si>
  <si>
    <t>J EC</t>
  </si>
  <si>
    <t>J PC</t>
  </si>
  <si>
    <t>J MC</t>
  </si>
  <si>
    <t>J BC</t>
  </si>
  <si>
    <t>J LC</t>
  </si>
  <si>
    <t>B BCR</t>
  </si>
  <si>
    <t>B SF</t>
  </si>
  <si>
    <t>B BSF</t>
  </si>
  <si>
    <t>B LR</t>
  </si>
  <si>
    <t>B BRH</t>
  </si>
  <si>
    <t>B LBC</t>
  </si>
  <si>
    <t>W WO</t>
  </si>
  <si>
    <t>W OSF</t>
  </si>
  <si>
    <t>W CC</t>
  </si>
  <si>
    <t>Jordan</t>
  </si>
  <si>
    <t>Bear</t>
  </si>
  <si>
    <t>Weber</t>
  </si>
  <si>
    <t>Area (mm2)</t>
  </si>
  <si>
    <t xml:space="preserve">Area-Weighted Average </t>
  </si>
  <si>
    <t>Total Area</t>
  </si>
  <si>
    <t>Inches</t>
  </si>
  <si>
    <t>degrees F</t>
  </si>
  <si>
    <t>Total Area (mm2)</t>
  </si>
  <si>
    <t>Megs' # (GSL Policy Update)</t>
  </si>
  <si>
    <t>Meg</t>
  </si>
  <si>
    <t>NaN</t>
  </si>
  <si>
    <t>Megs</t>
  </si>
  <si>
    <t>Mean of 16 Headwaters, (Catchment Wetness Index (GW Storage))</t>
  </si>
  <si>
    <t>Percent Deviation From Mean of 16 Headwaters Catchment Wetness Index (GW Storage)</t>
  </si>
  <si>
    <t xml:space="preserve">Percent Deviation From Mean of 16 Headwaters Catchment Streamflow </t>
  </si>
  <si>
    <r>
      <rPr>
        <b/>
        <sz val="12"/>
        <color theme="1"/>
        <rFont val="Aptos Narrow"/>
        <scheme val="minor"/>
      </rPr>
      <t>Mean Water Year Headwater Temperature</t>
    </r>
    <r>
      <rPr>
        <sz val="12"/>
        <color theme="1"/>
        <rFont val="Aptos Narrow"/>
        <scheme val="minor"/>
      </rPr>
      <t xml:space="preserve"> (PRISM) F</t>
    </r>
  </si>
  <si>
    <r>
      <rPr>
        <b/>
        <sz val="12"/>
        <color theme="1"/>
        <rFont val="Aptos Narrow"/>
        <scheme val="minor"/>
      </rPr>
      <t>Average Total Annual Water Year Headwater Precipitation</t>
    </r>
    <r>
      <rPr>
        <sz val="12"/>
        <color theme="1"/>
        <rFont val="Aptos Narrow"/>
        <scheme val="minor"/>
      </rPr>
      <t xml:space="preserve"> (PRISM) mm/year</t>
    </r>
  </si>
  <si>
    <r>
      <rPr>
        <b/>
        <sz val="12"/>
        <color theme="1"/>
        <rFont val="Aptos Narrow"/>
        <scheme val="minor"/>
      </rPr>
      <t>Mean Water Year Headwater Temperature</t>
    </r>
    <r>
      <rPr>
        <sz val="12"/>
        <color theme="1"/>
        <rFont val="Aptos Narrow"/>
        <scheme val="minor"/>
      </rPr>
      <t xml:space="preserve"> (PRISM)  C</t>
    </r>
  </si>
  <si>
    <t>Water Year</t>
  </si>
  <si>
    <r>
      <rPr>
        <b/>
        <sz val="12"/>
        <color theme="1"/>
        <rFont val="Aptos Narrow"/>
        <scheme val="minor"/>
      </rPr>
      <t>Mean Water Year Headwater Precipitation</t>
    </r>
    <r>
      <rPr>
        <sz val="12"/>
        <color theme="1"/>
        <rFont val="Aptos Narrow"/>
        <scheme val="minor"/>
      </rPr>
      <t xml:space="preserve"> (PRISM) inches per water year</t>
    </r>
  </si>
  <si>
    <t>PRISM</t>
  </si>
  <si>
    <t>SNOTEL</t>
  </si>
  <si>
    <t>Mean Water Year Headwater Streamflow (average of 16 headwaters in GSL) mm/day</t>
  </si>
  <si>
    <r>
      <rPr>
        <b/>
        <sz val="12"/>
        <color theme="1"/>
        <rFont val="Aptos Narrow"/>
        <scheme val="minor"/>
      </rPr>
      <t>Mean Water Year Headwater Precipitation</t>
    </r>
    <r>
      <rPr>
        <sz val="12"/>
        <color theme="1"/>
        <rFont val="Aptos Narrow"/>
        <scheme val="minor"/>
      </rPr>
      <t xml:space="preserve"> (PRISM + 2023 adjusted using SNOTEL regression) inches per water year</t>
    </r>
  </si>
  <si>
    <t>SLCDPU</t>
  </si>
  <si>
    <t xml:space="preserve">Found in Meg/Logan work </t>
  </si>
  <si>
    <t xml:space="preserve">missing November 2020 values </t>
  </si>
  <si>
    <t>Area Weight %</t>
  </si>
  <si>
    <t xml:space="preserve">Megs' # (GSL Policy Update) - Not Area Weighted </t>
  </si>
  <si>
    <t>Baylee</t>
  </si>
  <si>
    <t>Megs' # (GSL Policy Update) - Not Area Weighted</t>
  </si>
  <si>
    <t>Arithmetic Mean</t>
  </si>
  <si>
    <t xml:space="preserve">Area-Weighted Mean </t>
  </si>
  <si>
    <t xml:space="preserve">Area-Weighted % </t>
  </si>
  <si>
    <t xml:space="preserve">Percent Weight Changes with data contributions </t>
  </si>
  <si>
    <t>STDEV</t>
  </si>
  <si>
    <t>CV</t>
  </si>
  <si>
    <t>Headwater Streamflow (mm)</t>
  </si>
  <si>
    <t xml:space="preserve">WY </t>
  </si>
  <si>
    <t xml:space="preserve">Percent Deviation From Mean of 16 Headwaters Catchment Streamflow - Area Weighted </t>
  </si>
  <si>
    <t>Excluding SLC data for 2025</t>
  </si>
  <si>
    <t>Percent Deviation From Mean of 16 Headwaters Catchment Streamflow - Area Weighted - Excluding SLC data for 2025</t>
  </si>
  <si>
    <r>
      <rPr>
        <b/>
        <sz val="12"/>
        <color theme="1"/>
        <rFont val="Aptos Narrow"/>
        <scheme val="minor"/>
      </rPr>
      <t>Percent Deviation From Mean of 16 Headwaters Catchment Wetness Index</t>
    </r>
    <r>
      <rPr>
        <sz val="12"/>
        <color theme="1"/>
        <rFont val="Aptos Narrow"/>
        <scheme val="minor"/>
      </rPr>
      <t xml:space="preserve"> (GW Storage) </t>
    </r>
    <r>
      <rPr>
        <b/>
        <sz val="12"/>
        <color theme="1"/>
        <rFont val="Aptos Narrow"/>
        <scheme val="minor"/>
      </rPr>
      <t>- Area Weighted - Excluding SLC data for 2025</t>
    </r>
  </si>
  <si>
    <r>
      <rPr>
        <b/>
        <sz val="12"/>
        <color theme="1"/>
        <rFont val="Aptos Narrow"/>
        <scheme val="minor"/>
      </rPr>
      <t>Percent Deviation From Mean of 16 Headwaters Catchment Wetness Index</t>
    </r>
    <r>
      <rPr>
        <sz val="12"/>
        <color theme="1"/>
        <rFont val="Aptos Narrow"/>
        <scheme val="minor"/>
      </rPr>
      <t xml:space="preserve"> (GW Storage)</t>
    </r>
    <r>
      <rPr>
        <b/>
        <sz val="12"/>
        <color theme="1"/>
        <rFont val="Aptos Narrow"/>
        <scheme val="minor"/>
      </rPr>
      <t xml:space="preserve"> - Area Weighted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</si>
</sst>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00"/>
  </numFmts>
  <fonts count="7" x14ac:knownFonts="1">
    <font>
      <sz val="12"/>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
      <sz val="12"/>
      <color rgb="FF000000"/>
      <name val="Aptos Narrow"/>
      <family val="2"/>
      <scheme val="minor"/>
    </font>
    <font>
      <sz val="12"/>
      <color rgb="FFC00000"/>
      <name val="Aptos Narrow"/>
      <scheme val="minor"/>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3">
    <xf numFmtId="0" fontId="0" fillId="0" borderId="0" xfId="0"/>
    <xf numFmtId="0" fontId="2" fillId="0" borderId="0" xfId="0" applyFont="1" applyAlignment="1">
      <alignment horizontal="center" wrapText="1"/>
    </xf>
    <xf numFmtId="0" fontId="2" fillId="0" borderId="0" xfId="0" applyFont="1"/>
    <xf numFmtId="11" fontId="3" fillId="0" borderId="0" xfId="0" applyNumberFormat="1" applyFont="1"/>
    <xf numFmtId="0" fontId="4" fillId="0" borderId="0" xfId="0" applyFont="1"/>
    <xf numFmtId="0" fontId="3" fillId="0" borderId="0" xfId="0" applyFont="1"/>
    <xf numFmtId="164" fontId="3" fillId="0" borderId="0" xfId="0" applyNumberFormat="1" applyFont="1"/>
    <xf numFmtId="2" fontId="2" fillId="0" borderId="0" xfId="0" applyNumberFormat="1" applyFont="1"/>
    <xf numFmtId="11" fontId="2" fillId="0" borderId="0" xfId="0" applyNumberFormat="1" applyFont="1"/>
    <xf numFmtId="2" fontId="4" fillId="0" borderId="0" xfId="0" applyNumberFormat="1" applyFont="1"/>
    <xf numFmtId="2" fontId="3" fillId="0" borderId="0" xfId="0" applyNumberFormat="1" applyFont="1"/>
    <xf numFmtId="165" fontId="2" fillId="0" borderId="0" xfId="0" applyNumberFormat="1" applyFont="1"/>
    <xf numFmtId="0" fontId="5" fillId="0" borderId="0" xfId="0" applyFont="1"/>
    <xf numFmtId="0" fontId="0" fillId="2" borderId="0" xfId="0" applyFill="1"/>
    <xf numFmtId="0" fontId="0" fillId="3" borderId="0" xfId="0" applyFill="1"/>
    <xf numFmtId="0" fontId="2" fillId="3" borderId="0" xfId="0" applyFont="1" applyFill="1"/>
    <xf numFmtId="0" fontId="2" fillId="2" borderId="0" xfId="0" applyFont="1" applyFill="1"/>
    <xf numFmtId="0" fontId="5" fillId="3" borderId="0" xfId="0" applyFont="1" applyFill="1"/>
    <xf numFmtId="2" fontId="0" fillId="0" borderId="0" xfId="0" applyNumberFormat="1"/>
    <xf numFmtId="0" fontId="2" fillId="4" borderId="0" xfId="0" applyFont="1" applyFill="1"/>
    <xf numFmtId="0" fontId="0" fillId="4" borderId="0" xfId="0" applyFill="1"/>
    <xf numFmtId="0" fontId="3" fillId="4" borderId="0" xfId="0" applyFont="1" applyFill="1"/>
    <xf numFmtId="2" fontId="2" fillId="4" borderId="0" xfId="0" applyNumberFormat="1" applyFont="1" applyFill="1"/>
    <xf numFmtId="2" fontId="3" fillId="4" borderId="0" xfId="0" applyNumberFormat="1" applyFont="1" applyFill="1"/>
    <xf numFmtId="166" fontId="3" fillId="0" borderId="0" xfId="0" applyNumberFormat="1" applyFont="1"/>
    <xf numFmtId="0" fontId="6" fillId="3" borderId="0" xfId="0" applyFont="1" applyFill="1"/>
    <xf numFmtId="0" fontId="2" fillId="5" borderId="0" xfId="0" applyFont="1" applyFill="1"/>
    <xf numFmtId="0" fontId="6" fillId="5" borderId="0" xfId="0" applyFont="1" applyFill="1"/>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F9481"/>
      <color rgb="FF7F2600"/>
      <color rgb="FF621100"/>
      <color rgb="FFFF7E79"/>
      <color rgb="FF941100"/>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Precipitation,</a:t>
            </a:r>
            <a:r>
              <a:rPr lang="en-US" baseline="0"/>
              <a:t> 1901 - 2025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B0F0"/>
              </a:solidFill>
              <a:round/>
            </a:ln>
            <a:effectLst/>
          </c:spPr>
          <c:marker>
            <c:symbol val="none"/>
          </c:marker>
          <c:cat>
            <c:numRef>
              <c:f>Summary!$A$4:$A$128</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Summary!$C$4:$C$128</c:f>
              <c:numCache>
                <c:formatCode>0.00</c:formatCode>
                <c:ptCount val="125"/>
                <c:pt idx="0">
                  <c:v>32.201181608021912</c:v>
                </c:pt>
                <c:pt idx="1">
                  <c:v>23.950064120185122</c:v>
                </c:pt>
                <c:pt idx="2">
                  <c:v>28.637695552515591</c:v>
                </c:pt>
                <c:pt idx="3">
                  <c:v>37.119032489124628</c:v>
                </c:pt>
                <c:pt idx="4">
                  <c:v>22.73970530196878</c:v>
                </c:pt>
                <c:pt idx="5">
                  <c:v>32.630633772961858</c:v>
                </c:pt>
                <c:pt idx="6">
                  <c:v>41.00904500718584</c:v>
                </c:pt>
                <c:pt idx="7">
                  <c:v>31.327251566154246</c:v>
                </c:pt>
                <c:pt idx="8">
                  <c:v>47.47007171766888</c:v>
                </c:pt>
                <c:pt idx="9">
                  <c:v>29.235404237419477</c:v>
                </c:pt>
                <c:pt idx="10">
                  <c:v>38.571417214585239</c:v>
                </c:pt>
                <c:pt idx="11">
                  <c:v>33.138652816302454</c:v>
                </c:pt>
                <c:pt idx="12">
                  <c:v>32.74816369402064</c:v>
                </c:pt>
                <c:pt idx="13">
                  <c:v>35.907802049550263</c:v>
                </c:pt>
                <c:pt idx="14">
                  <c:v>29.953336486484236</c:v>
                </c:pt>
                <c:pt idx="15">
                  <c:v>29.697540643717943</c:v>
                </c:pt>
                <c:pt idx="16">
                  <c:v>35.183698190789876</c:v>
                </c:pt>
                <c:pt idx="17">
                  <c:v>27.281534269491029</c:v>
                </c:pt>
                <c:pt idx="18">
                  <c:v>23.67276173103193</c:v>
                </c:pt>
                <c:pt idx="19">
                  <c:v>33.087177041290019</c:v>
                </c:pt>
                <c:pt idx="20">
                  <c:v>37.095689150843853</c:v>
                </c:pt>
                <c:pt idx="21">
                  <c:v>34.872467418394727</c:v>
                </c:pt>
                <c:pt idx="22">
                  <c:v>38.961485162720514</c:v>
                </c:pt>
                <c:pt idx="23">
                  <c:v>19.348838112525026</c:v>
                </c:pt>
                <c:pt idx="24">
                  <c:v>37.404707271744066</c:v>
                </c:pt>
                <c:pt idx="25">
                  <c:v>29.639458390461044</c:v>
                </c:pt>
                <c:pt idx="26">
                  <c:v>35.609443664169099</c:v>
                </c:pt>
                <c:pt idx="27">
                  <c:v>27.731153230842633</c:v>
                </c:pt>
                <c:pt idx="28">
                  <c:v>37.76088980899096</c:v>
                </c:pt>
                <c:pt idx="29">
                  <c:v>28.276966682625019</c:v>
                </c:pt>
                <c:pt idx="30">
                  <c:v>20.471321535571484</c:v>
                </c:pt>
                <c:pt idx="31">
                  <c:v>32.889318912545335</c:v>
                </c:pt>
                <c:pt idx="32">
                  <c:v>26.141411071445283</c:v>
                </c:pt>
                <c:pt idx="33">
                  <c:v>18.54975463243164</c:v>
                </c:pt>
                <c:pt idx="34">
                  <c:v>28.035866322736037</c:v>
                </c:pt>
                <c:pt idx="35">
                  <c:v>34.718391966808262</c:v>
                </c:pt>
                <c:pt idx="36">
                  <c:v>32.970226512659771</c:v>
                </c:pt>
                <c:pt idx="37">
                  <c:v>32.895400956413532</c:v>
                </c:pt>
                <c:pt idx="38">
                  <c:v>27.341248589871729</c:v>
                </c:pt>
                <c:pt idx="39">
                  <c:v>27.030112047461575</c:v>
                </c:pt>
                <c:pt idx="40">
                  <c:v>33.314732528842356</c:v>
                </c:pt>
                <c:pt idx="41">
                  <c:v>31.619167978731038</c:v>
                </c:pt>
                <c:pt idx="42">
                  <c:v>30.250135336413965</c:v>
                </c:pt>
                <c:pt idx="43">
                  <c:v>29.409813671163267</c:v>
                </c:pt>
                <c:pt idx="44">
                  <c:v>33.567551712284548</c:v>
                </c:pt>
                <c:pt idx="45">
                  <c:v>28.298883020659929</c:v>
                </c:pt>
                <c:pt idx="46">
                  <c:v>35.372633374155342</c:v>
                </c:pt>
                <c:pt idx="47">
                  <c:v>30.247669894260184</c:v>
                </c:pt>
                <c:pt idx="48">
                  <c:v>34.183933117266378</c:v>
                </c:pt>
                <c:pt idx="49">
                  <c:v>33.102983505698496</c:v>
                </c:pt>
                <c:pt idx="50">
                  <c:v>33.600905486449427</c:v>
                </c:pt>
                <c:pt idx="51">
                  <c:v>39.138643829039125</c:v>
                </c:pt>
                <c:pt idx="52">
                  <c:v>30.038004259852059</c:v>
                </c:pt>
                <c:pt idx="53">
                  <c:v>25.676358333238277</c:v>
                </c:pt>
                <c:pt idx="54">
                  <c:v>31.963215181518599</c:v>
                </c:pt>
                <c:pt idx="55">
                  <c:v>31.250405331972942</c:v>
                </c:pt>
                <c:pt idx="56">
                  <c:v>34.600146842653054</c:v>
                </c:pt>
                <c:pt idx="57">
                  <c:v>30.912454098716744</c:v>
                </c:pt>
                <c:pt idx="58">
                  <c:v>29.848131754885614</c:v>
                </c:pt>
                <c:pt idx="59">
                  <c:v>22.678880730749974</c:v>
                </c:pt>
                <c:pt idx="60">
                  <c:v>25.295068615191962</c:v>
                </c:pt>
                <c:pt idx="61">
                  <c:v>34.040806503191661</c:v>
                </c:pt>
                <c:pt idx="62">
                  <c:v>29.405457385762439</c:v>
                </c:pt>
                <c:pt idx="63">
                  <c:v>32.231330398402527</c:v>
                </c:pt>
                <c:pt idx="64">
                  <c:v>39.645423452973873</c:v>
                </c:pt>
                <c:pt idx="65">
                  <c:v>24.042904140206979</c:v>
                </c:pt>
                <c:pt idx="66">
                  <c:v>33.834040356228158</c:v>
                </c:pt>
                <c:pt idx="67">
                  <c:v>35.333354463334736</c:v>
                </c:pt>
                <c:pt idx="68">
                  <c:v>34.515387366545482</c:v>
                </c:pt>
                <c:pt idx="69">
                  <c:v>32.780602369883319</c:v>
                </c:pt>
                <c:pt idx="70">
                  <c:v>36.678037856317268</c:v>
                </c:pt>
                <c:pt idx="71">
                  <c:v>33.630317783611311</c:v>
                </c:pt>
                <c:pt idx="72">
                  <c:v>36.866944789938621</c:v>
                </c:pt>
                <c:pt idx="73">
                  <c:v>29.740298646148453</c:v>
                </c:pt>
                <c:pt idx="74">
                  <c:v>37.299368036918594</c:v>
                </c:pt>
                <c:pt idx="75">
                  <c:v>30.387070395953071</c:v>
                </c:pt>
                <c:pt idx="76">
                  <c:v>22.808994844934691</c:v>
                </c:pt>
                <c:pt idx="77">
                  <c:v>38.558526174791794</c:v>
                </c:pt>
                <c:pt idx="78">
                  <c:v>25.216191499205614</c:v>
                </c:pt>
                <c:pt idx="79">
                  <c:v>37.012951653085139</c:v>
                </c:pt>
                <c:pt idx="80">
                  <c:v>25.994795414666768</c:v>
                </c:pt>
                <c:pt idx="81">
                  <c:v>48.213349900140649</c:v>
                </c:pt>
                <c:pt idx="82">
                  <c:v>40.672324969254966</c:v>
                </c:pt>
                <c:pt idx="83">
                  <c:v>41.47385702522223</c:v>
                </c:pt>
                <c:pt idx="84">
                  <c:v>32.366032355950566</c:v>
                </c:pt>
                <c:pt idx="85">
                  <c:v>46.646727733412106</c:v>
                </c:pt>
                <c:pt idx="86">
                  <c:v>24.435155535949928</c:v>
                </c:pt>
                <c:pt idx="87">
                  <c:v>21.940900535431119</c:v>
                </c:pt>
                <c:pt idx="88">
                  <c:v>29.76628013102394</c:v>
                </c:pt>
                <c:pt idx="89">
                  <c:v>25.932041554970056</c:v>
                </c:pt>
                <c:pt idx="90">
                  <c:v>31.465709806855539</c:v>
                </c:pt>
                <c:pt idx="91">
                  <c:v>22.745398044038698</c:v>
                </c:pt>
                <c:pt idx="92">
                  <c:v>39.095769207481098</c:v>
                </c:pt>
                <c:pt idx="93">
                  <c:v>24.890009567344379</c:v>
                </c:pt>
                <c:pt idx="94">
                  <c:v>39.656528589465459</c:v>
                </c:pt>
                <c:pt idx="95">
                  <c:v>33.361975068974687</c:v>
                </c:pt>
                <c:pt idx="96">
                  <c:v>43.503789125371512</c:v>
                </c:pt>
                <c:pt idx="97">
                  <c:v>37.088107074733884</c:v>
                </c:pt>
                <c:pt idx="98">
                  <c:v>34.827224403109597</c:v>
                </c:pt>
                <c:pt idx="99">
                  <c:v>25.385314739191248</c:v>
                </c:pt>
                <c:pt idx="100">
                  <c:v>23.083999434812583</c:v>
                </c:pt>
                <c:pt idx="101">
                  <c:v>27.189466472812072</c:v>
                </c:pt>
                <c:pt idx="102">
                  <c:v>25.606653383917443</c:v>
                </c:pt>
                <c:pt idx="103">
                  <c:v>28.578123438755465</c:v>
                </c:pt>
                <c:pt idx="104">
                  <c:v>36.676340653740588</c:v>
                </c:pt>
                <c:pt idx="105">
                  <c:v>36.294977324857335</c:v>
                </c:pt>
                <c:pt idx="106">
                  <c:v>26.102416192910962</c:v>
                </c:pt>
                <c:pt idx="107">
                  <c:v>30.440776286536057</c:v>
                </c:pt>
                <c:pt idx="108">
                  <c:v>34.465575440820324</c:v>
                </c:pt>
                <c:pt idx="109">
                  <c:v>29.025541886565772</c:v>
                </c:pt>
                <c:pt idx="110">
                  <c:v>45.938526076263464</c:v>
                </c:pt>
                <c:pt idx="111">
                  <c:v>23.351898844775011</c:v>
                </c:pt>
                <c:pt idx="112">
                  <c:v>26.764693755161932</c:v>
                </c:pt>
                <c:pt idx="113">
                  <c:v>34.559786230990547</c:v>
                </c:pt>
                <c:pt idx="114">
                  <c:v>26.431379898280845</c:v>
                </c:pt>
                <c:pt idx="115">
                  <c:v>30.345268162627232</c:v>
                </c:pt>
                <c:pt idx="116">
                  <c:v>42.251320575071034</c:v>
                </c:pt>
                <c:pt idx="117">
                  <c:v>21.67248388855187</c:v>
                </c:pt>
                <c:pt idx="118">
                  <c:v>35.911909455724654</c:v>
                </c:pt>
                <c:pt idx="119">
                  <c:v>25.213843377114483</c:v>
                </c:pt>
                <c:pt idx="120">
                  <c:v>23.241726849299543</c:v>
                </c:pt>
                <c:pt idx="121">
                  <c:v>29.439140076742891</c:v>
                </c:pt>
                <c:pt idx="122">
                  <c:v>44.727976251469578</c:v>
                </c:pt>
                <c:pt idx="123">
                  <c:v>30.652259824893015</c:v>
                </c:pt>
                <c:pt idx="124">
                  <c:v>25.145405957367132</c:v>
                </c:pt>
              </c:numCache>
            </c:numRef>
          </c:val>
          <c:smooth val="0"/>
          <c:extLst>
            <c:ext xmlns:c16="http://schemas.microsoft.com/office/drawing/2014/chart" uri="{C3380CC4-5D6E-409C-BE32-E72D297353CC}">
              <c16:uniqueId val="{00000000-0BC0-BA49-8A91-4D6EC6FB378A}"/>
            </c:ext>
          </c:extLst>
        </c:ser>
        <c:dLbls>
          <c:showLegendKey val="0"/>
          <c:showVal val="0"/>
          <c:showCatName val="0"/>
          <c:showSerName val="0"/>
          <c:showPercent val="0"/>
          <c:showBubbleSize val="0"/>
        </c:dLbls>
        <c:smooth val="0"/>
        <c:axId val="2098832496"/>
        <c:axId val="1141359551"/>
      </c:lineChart>
      <c:catAx>
        <c:axId val="209883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59551"/>
        <c:crosses val="autoZero"/>
        <c:auto val="1"/>
        <c:lblAlgn val="ctr"/>
        <c:lblOffset val="100"/>
        <c:noMultiLvlLbl val="0"/>
      </c:catAx>
      <c:valAx>
        <c:axId val="1141359551"/>
        <c:scaling>
          <c:orientation val="minMax"/>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Precipication (Inches)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1901 - 2025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C00000"/>
              </a:solidFill>
              <a:round/>
            </a:ln>
            <a:effectLst/>
          </c:spPr>
          <c:marker>
            <c:symbol val="none"/>
          </c:marker>
          <c:cat>
            <c:numRef>
              <c:f>Summary!$A$4:$A$128</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Summary!$D$4:$D$128</c:f>
              <c:numCache>
                <c:formatCode>0.00</c:formatCode>
                <c:ptCount val="125"/>
                <c:pt idx="0">
                  <c:v>40.432637236032065</c:v>
                </c:pt>
                <c:pt idx="1">
                  <c:v>39.916464518647494</c:v>
                </c:pt>
                <c:pt idx="2">
                  <c:v>37.586760825713519</c:v>
                </c:pt>
                <c:pt idx="3">
                  <c:v>38.953920624075771</c:v>
                </c:pt>
                <c:pt idx="4">
                  <c:v>40.302405345328481</c:v>
                </c:pt>
                <c:pt idx="5">
                  <c:v>37.467397706534314</c:v>
                </c:pt>
                <c:pt idx="6">
                  <c:v>39.269311023144468</c:v>
                </c:pt>
                <c:pt idx="7">
                  <c:v>38.626379540408294</c:v>
                </c:pt>
                <c:pt idx="8">
                  <c:v>38.044248237457253</c:v>
                </c:pt>
                <c:pt idx="9">
                  <c:v>39.760945383572654</c:v>
                </c:pt>
                <c:pt idx="10">
                  <c:v>39.751006696346536</c:v>
                </c:pt>
                <c:pt idx="11">
                  <c:v>36.635590588237669</c:v>
                </c:pt>
                <c:pt idx="12">
                  <c:v>37.827324488210749</c:v>
                </c:pt>
                <c:pt idx="13">
                  <c:v>39.754423677728695</c:v>
                </c:pt>
                <c:pt idx="14">
                  <c:v>39.370702877617241</c:v>
                </c:pt>
                <c:pt idx="15">
                  <c:v>39.428253189436376</c:v>
                </c:pt>
                <c:pt idx="16">
                  <c:v>34.874283571050213</c:v>
                </c:pt>
                <c:pt idx="17">
                  <c:v>40.31386422507228</c:v>
                </c:pt>
                <c:pt idx="18">
                  <c:v>40.789645808887705</c:v>
                </c:pt>
                <c:pt idx="19">
                  <c:v>37.762510467740732</c:v>
                </c:pt>
                <c:pt idx="20">
                  <c:v>39.305643221151669</c:v>
                </c:pt>
                <c:pt idx="21">
                  <c:v>39.012198919385725</c:v>
                </c:pt>
                <c:pt idx="22">
                  <c:v>38.085003983431676</c:v>
                </c:pt>
                <c:pt idx="23">
                  <c:v>38.496573822367907</c:v>
                </c:pt>
                <c:pt idx="24">
                  <c:v>39.245266511859668</c:v>
                </c:pt>
                <c:pt idx="25">
                  <c:v>40.540336552172526</c:v>
                </c:pt>
                <c:pt idx="26">
                  <c:v>39.628027688880572</c:v>
                </c:pt>
                <c:pt idx="27">
                  <c:v>39.669157118059019</c:v>
                </c:pt>
                <c:pt idx="28">
                  <c:v>37.417323850666634</c:v>
                </c:pt>
                <c:pt idx="29">
                  <c:v>39.984011509495303</c:v>
                </c:pt>
                <c:pt idx="30">
                  <c:v>38.53497640839376</c:v>
                </c:pt>
                <c:pt idx="31">
                  <c:v>37.556033502963423</c:v>
                </c:pt>
                <c:pt idx="32">
                  <c:v>37.598223922748069</c:v>
                </c:pt>
                <c:pt idx="33">
                  <c:v>43.922926325890813</c:v>
                </c:pt>
                <c:pt idx="34">
                  <c:v>40.472767230615112</c:v>
                </c:pt>
                <c:pt idx="35">
                  <c:v>39.763604642235862</c:v>
                </c:pt>
                <c:pt idx="36">
                  <c:v>38.297027034444184</c:v>
                </c:pt>
                <c:pt idx="37">
                  <c:v>40.864352825002648</c:v>
                </c:pt>
                <c:pt idx="38">
                  <c:v>38.866808694420257</c:v>
                </c:pt>
                <c:pt idx="39">
                  <c:v>42.322179967623434</c:v>
                </c:pt>
                <c:pt idx="40">
                  <c:v>39.413128255826877</c:v>
                </c:pt>
                <c:pt idx="41">
                  <c:v>37.80776892019739</c:v>
                </c:pt>
                <c:pt idx="42">
                  <c:v>40.376924079330735</c:v>
                </c:pt>
                <c:pt idx="43">
                  <c:v>38.3719273137973</c:v>
                </c:pt>
                <c:pt idx="44">
                  <c:v>38.738826438056364</c:v>
                </c:pt>
                <c:pt idx="45">
                  <c:v>39.574897730429953</c:v>
                </c:pt>
                <c:pt idx="46">
                  <c:v>39.460966462636549</c:v>
                </c:pt>
                <c:pt idx="47">
                  <c:v>38.667890279230562</c:v>
                </c:pt>
                <c:pt idx="48">
                  <c:v>37.812771189233985</c:v>
                </c:pt>
                <c:pt idx="49">
                  <c:v>38.671457630661159</c:v>
                </c:pt>
                <c:pt idx="50">
                  <c:v>40.477637700042237</c:v>
                </c:pt>
                <c:pt idx="51">
                  <c:v>38.156927351625598</c:v>
                </c:pt>
                <c:pt idx="52">
                  <c:v>40.476771088892299</c:v>
                </c:pt>
                <c:pt idx="53">
                  <c:v>41.132242697042685</c:v>
                </c:pt>
                <c:pt idx="54">
                  <c:v>37.931186111766074</c:v>
                </c:pt>
                <c:pt idx="55">
                  <c:v>39.771103293464947</c:v>
                </c:pt>
                <c:pt idx="56">
                  <c:v>38.787313198344236</c:v>
                </c:pt>
                <c:pt idx="57">
                  <c:v>39.381475479449932</c:v>
                </c:pt>
                <c:pt idx="58">
                  <c:v>40.562026952337128</c:v>
                </c:pt>
                <c:pt idx="59">
                  <c:v>39.868914106942874</c:v>
                </c:pt>
                <c:pt idx="60">
                  <c:v>40.529868556164004</c:v>
                </c:pt>
                <c:pt idx="61">
                  <c:v>38.321311398709256</c:v>
                </c:pt>
                <c:pt idx="62">
                  <c:v>40.854167161240852</c:v>
                </c:pt>
                <c:pt idx="63">
                  <c:v>37.713161469103177</c:v>
                </c:pt>
                <c:pt idx="64">
                  <c:v>38.139370349767319</c:v>
                </c:pt>
                <c:pt idx="65">
                  <c:v>40.030511441387361</c:v>
                </c:pt>
                <c:pt idx="66">
                  <c:v>39.46639696087513</c:v>
                </c:pt>
                <c:pt idx="67">
                  <c:v>38.597643338070327</c:v>
                </c:pt>
                <c:pt idx="68">
                  <c:v>39.383276349152453</c:v>
                </c:pt>
                <c:pt idx="69">
                  <c:v>38.915353771192187</c:v>
                </c:pt>
                <c:pt idx="70">
                  <c:v>38.429899362973103</c:v>
                </c:pt>
                <c:pt idx="71">
                  <c:v>38.806687040516891</c:v>
                </c:pt>
                <c:pt idx="72">
                  <c:v>36.979288950054801</c:v>
                </c:pt>
                <c:pt idx="73">
                  <c:v>39.256360454959619</c:v>
                </c:pt>
                <c:pt idx="74">
                  <c:v>37.24704625329349</c:v>
                </c:pt>
                <c:pt idx="75">
                  <c:v>38.682476919151419</c:v>
                </c:pt>
                <c:pt idx="76">
                  <c:v>39.527722673913061</c:v>
                </c:pt>
                <c:pt idx="77">
                  <c:v>40.258706616618007</c:v>
                </c:pt>
                <c:pt idx="78">
                  <c:v>38.321753503870873</c:v>
                </c:pt>
                <c:pt idx="79">
                  <c:v>39.546084565470586</c:v>
                </c:pt>
                <c:pt idx="80">
                  <c:v>42.121092859336343</c:v>
                </c:pt>
                <c:pt idx="81">
                  <c:v>38.905145258521834</c:v>
                </c:pt>
                <c:pt idx="82">
                  <c:v>38.790875945258072</c:v>
                </c:pt>
                <c:pt idx="83">
                  <c:v>37.918302789933975</c:v>
                </c:pt>
                <c:pt idx="84">
                  <c:v>37.484598372161273</c:v>
                </c:pt>
                <c:pt idx="85">
                  <c:v>39.715497413805409</c:v>
                </c:pt>
                <c:pt idx="86">
                  <c:v>39.427920467851273</c:v>
                </c:pt>
                <c:pt idx="87">
                  <c:v>39.795179989203817</c:v>
                </c:pt>
                <c:pt idx="88">
                  <c:v>39.770896106882454</c:v>
                </c:pt>
                <c:pt idx="89">
                  <c:v>40.359477836400849</c:v>
                </c:pt>
                <c:pt idx="90">
                  <c:v>38.408876846201984</c:v>
                </c:pt>
                <c:pt idx="91">
                  <c:v>41.059676662556726</c:v>
                </c:pt>
                <c:pt idx="92">
                  <c:v>37.523127955692061</c:v>
                </c:pt>
                <c:pt idx="93">
                  <c:v>41.159080211018626</c:v>
                </c:pt>
                <c:pt idx="94">
                  <c:v>38.996438386825709</c:v>
                </c:pt>
                <c:pt idx="95">
                  <c:v>40.484172125503072</c:v>
                </c:pt>
                <c:pt idx="96">
                  <c:v>39.457240030002254</c:v>
                </c:pt>
                <c:pt idx="97">
                  <c:v>39.62499982421059</c:v>
                </c:pt>
                <c:pt idx="98">
                  <c:v>39.384285519129165</c:v>
                </c:pt>
                <c:pt idx="99">
                  <c:v>42.398191121300229</c:v>
                </c:pt>
                <c:pt idx="100">
                  <c:v>40.490232429513313</c:v>
                </c:pt>
                <c:pt idx="101">
                  <c:v>40.050214101512125</c:v>
                </c:pt>
                <c:pt idx="102">
                  <c:v>41.357136946927156</c:v>
                </c:pt>
                <c:pt idx="103">
                  <c:v>40.467454860366004</c:v>
                </c:pt>
                <c:pt idx="104">
                  <c:v>40.661833748399012</c:v>
                </c:pt>
                <c:pt idx="105">
                  <c:v>40.868714946233872</c:v>
                </c:pt>
                <c:pt idx="106">
                  <c:v>41.746354160300854</c:v>
                </c:pt>
                <c:pt idx="107">
                  <c:v>38.713525624014302</c:v>
                </c:pt>
                <c:pt idx="108">
                  <c:v>40.584550394036583</c:v>
                </c:pt>
                <c:pt idx="109">
                  <c:v>38.881368129138068</c:v>
                </c:pt>
                <c:pt idx="110">
                  <c:v>39.274814473362902</c:v>
                </c:pt>
                <c:pt idx="111">
                  <c:v>41.803563136964556</c:v>
                </c:pt>
                <c:pt idx="112">
                  <c:v>40.762310018189169</c:v>
                </c:pt>
                <c:pt idx="113">
                  <c:v>40.496116732075677</c:v>
                </c:pt>
                <c:pt idx="114">
                  <c:v>42.929054553780425</c:v>
                </c:pt>
                <c:pt idx="115">
                  <c:v>41.578377378668932</c:v>
                </c:pt>
                <c:pt idx="116">
                  <c:v>41.801643748213678</c:v>
                </c:pt>
                <c:pt idx="117">
                  <c:v>42.600452504960245</c:v>
                </c:pt>
                <c:pt idx="118">
                  <c:v>39.480311913241351</c:v>
                </c:pt>
                <c:pt idx="119">
                  <c:v>40.210902630254026</c:v>
                </c:pt>
                <c:pt idx="120">
                  <c:v>42.016251570244854</c:v>
                </c:pt>
                <c:pt idx="121">
                  <c:v>41.57321454037173</c:v>
                </c:pt>
                <c:pt idx="122">
                  <c:v>38.54696507979817</c:v>
                </c:pt>
                <c:pt idx="123">
                  <c:v>41.413917518304878</c:v>
                </c:pt>
                <c:pt idx="124">
                  <c:v>41.677325371696178</c:v>
                </c:pt>
              </c:numCache>
            </c:numRef>
          </c:val>
          <c:smooth val="0"/>
          <c:extLst>
            <c:ext xmlns:c16="http://schemas.microsoft.com/office/drawing/2014/chart" uri="{C3380CC4-5D6E-409C-BE32-E72D297353CC}">
              <c16:uniqueId val="{00000000-ACFC-814A-A161-A17826BC759D}"/>
            </c:ext>
          </c:extLst>
        </c:ser>
        <c:dLbls>
          <c:showLegendKey val="0"/>
          <c:showVal val="0"/>
          <c:showCatName val="0"/>
          <c:showSerName val="0"/>
          <c:showPercent val="0"/>
          <c:showBubbleSize val="0"/>
        </c:dLbls>
        <c:smooth val="0"/>
        <c:axId val="2098832496"/>
        <c:axId val="1141359551"/>
      </c:lineChart>
      <c:catAx>
        <c:axId val="209883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59551"/>
        <c:crosses val="autoZero"/>
        <c:auto val="1"/>
        <c:lblAlgn val="ctr"/>
        <c:lblOffset val="100"/>
        <c:noMultiLvlLbl val="0"/>
      </c:catAx>
      <c:valAx>
        <c:axId val="1141359551"/>
        <c:scaling>
          <c:orientation val="minMax"/>
          <c:max val="44"/>
          <c:min val="3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(Fahrenheit)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Headwater Streamflow,</a:t>
            </a:r>
            <a:r>
              <a:rPr lang="en-US" baseline="0"/>
              <a:t> 1902 - 2025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70C0"/>
              </a:solidFill>
              <a:round/>
            </a:ln>
            <a:effectLst/>
          </c:spPr>
          <c:marker>
            <c:symbol val="none"/>
          </c:marker>
          <c:cat>
            <c:numRef>
              <c:f>Summary!$A$4:$A$128</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Summary!$E$4:$E$128</c:f>
              <c:numCache>
                <c:formatCode>0.00</c:formatCode>
                <c:ptCount val="125"/>
                <c:pt idx="1">
                  <c:v>-0.22752945678425365</c:v>
                </c:pt>
                <c:pt idx="2">
                  <c:v>-0.39189944313507047</c:v>
                </c:pt>
                <c:pt idx="3">
                  <c:v>0.16190730041260726</c:v>
                </c:pt>
                <c:pt idx="4">
                  <c:v>-7.2829356980785881E-2</c:v>
                </c:pt>
                <c:pt idx="5">
                  <c:v>0.34187773690728451</c:v>
                </c:pt>
                <c:pt idx="6">
                  <c:v>1.3050300952071214</c:v>
                </c:pt>
                <c:pt idx="7">
                  <c:v>0.29046973714204805</c:v>
                </c:pt>
                <c:pt idx="8">
                  <c:v>1.1683661661550166</c:v>
                </c:pt>
                <c:pt idx="9">
                  <c:v>0.41334883854434773</c:v>
                </c:pt>
                <c:pt idx="10">
                  <c:v>0.24279545581837406</c:v>
                </c:pt>
                <c:pt idx="11">
                  <c:v>0.66517220614675787</c:v>
                </c:pt>
                <c:pt idx="12">
                  <c:v>0.39165059045189776</c:v>
                </c:pt>
                <c:pt idx="13">
                  <c:v>0.84361520314417948</c:v>
                </c:pt>
                <c:pt idx="14">
                  <c:v>-0.16233106939269368</c:v>
                </c:pt>
                <c:pt idx="15">
                  <c:v>0.20515404898105757</c:v>
                </c:pt>
                <c:pt idx="16">
                  <c:v>0.4318934441063485</c:v>
                </c:pt>
                <c:pt idx="17">
                  <c:v>0.24187391045219711</c:v>
                </c:pt>
                <c:pt idx="18">
                  <c:v>-0.21878913377649051</c:v>
                </c:pt>
                <c:pt idx="19">
                  <c:v>0.19041825300058365</c:v>
                </c:pt>
                <c:pt idx="20">
                  <c:v>0.71444860903713603</c:v>
                </c:pt>
                <c:pt idx="21">
                  <c:v>0.52181072586713539</c:v>
                </c:pt>
                <c:pt idx="22">
                  <c:v>0.38071474085908807</c:v>
                </c:pt>
                <c:pt idx="23">
                  <c:v>-0.12352101244888684</c:v>
                </c:pt>
                <c:pt idx="24">
                  <c:v>-1.9465368172088895E-2</c:v>
                </c:pt>
                <c:pt idx="25">
                  <c:v>-0.16781116122805978</c:v>
                </c:pt>
                <c:pt idx="26">
                  <c:v>0.14466226688621425</c:v>
                </c:pt>
                <c:pt idx="27">
                  <c:v>-2.560137949440866E-2</c:v>
                </c:pt>
                <c:pt idx="28">
                  <c:v>-1.2640862221584276E-2</c:v>
                </c:pt>
                <c:pt idx="29">
                  <c:v>-0.31182954922955147</c:v>
                </c:pt>
                <c:pt idx="30">
                  <c:v>-0.5683760117137302</c:v>
                </c:pt>
                <c:pt idx="31">
                  <c:v>1.7132888805823143E-2</c:v>
                </c:pt>
                <c:pt idx="32">
                  <c:v>-0.21797991250502516</c:v>
                </c:pt>
                <c:pt idx="33">
                  <c:v>-0.64230630504784036</c:v>
                </c:pt>
                <c:pt idx="34">
                  <c:v>-0.31250864763271502</c:v>
                </c:pt>
                <c:pt idx="35">
                  <c:v>7.9930961858489288E-2</c:v>
                </c:pt>
                <c:pt idx="36">
                  <c:v>-0.19767743534557811</c:v>
                </c:pt>
                <c:pt idx="37">
                  <c:v>-7.8423968265158642E-2</c:v>
                </c:pt>
                <c:pt idx="38">
                  <c:v>-0.35752997353353944</c:v>
                </c:pt>
                <c:pt idx="39">
                  <c:v>-0.49894526149115465</c:v>
                </c:pt>
                <c:pt idx="40">
                  <c:v>-0.42966403862865599</c:v>
                </c:pt>
                <c:pt idx="41">
                  <c:v>-0.2714834427777949</c:v>
                </c:pt>
                <c:pt idx="42">
                  <c:v>9.8270114727820601E-3</c:v>
                </c:pt>
                <c:pt idx="43">
                  <c:v>-0.13170850991574579</c:v>
                </c:pt>
                <c:pt idx="44">
                  <c:v>-0.14768601985946364</c:v>
                </c:pt>
                <c:pt idx="45">
                  <c:v>2.746720554992747E-2</c:v>
                </c:pt>
                <c:pt idx="46">
                  <c:v>-8.216906245086834E-3</c:v>
                </c:pt>
                <c:pt idx="47">
                  <c:v>-8.1252320566040023E-3</c:v>
                </c:pt>
                <c:pt idx="48">
                  <c:v>-2.3681443114276592E-4</c:v>
                </c:pt>
                <c:pt idx="49">
                  <c:v>0.29410658362435399</c:v>
                </c:pt>
                <c:pt idx="50">
                  <c:v>0.17799565268424289</c:v>
                </c:pt>
                <c:pt idx="51">
                  <c:v>0.35878918726856451</c:v>
                </c:pt>
                <c:pt idx="52">
                  <c:v>-8.683780434382872E-2</c:v>
                </c:pt>
                <c:pt idx="53">
                  <c:v>-0.34797790804474049</c:v>
                </c:pt>
                <c:pt idx="54">
                  <c:v>-0.305451917810034</c:v>
                </c:pt>
                <c:pt idx="55">
                  <c:v>2.4943776460553423E-2</c:v>
                </c:pt>
                <c:pt idx="56">
                  <c:v>8.5029071205481671E-2</c:v>
                </c:pt>
                <c:pt idx="57">
                  <c:v>-9.1158148793033744E-2</c:v>
                </c:pt>
                <c:pt idx="58">
                  <c:v>-0.3106412139323258</c:v>
                </c:pt>
                <c:pt idx="59">
                  <c:v>-0.29786419642294448</c:v>
                </c:pt>
                <c:pt idx="60">
                  <c:v>-0.54831293008157966</c:v>
                </c:pt>
                <c:pt idx="61">
                  <c:v>-1.0512378715772029E-2</c:v>
                </c:pt>
                <c:pt idx="62">
                  <c:v>-0.27041095930209075</c:v>
                </c:pt>
                <c:pt idx="63">
                  <c:v>-8.9287328426824297E-2</c:v>
                </c:pt>
                <c:pt idx="64">
                  <c:v>0.27860002037990678</c:v>
                </c:pt>
                <c:pt idx="65">
                  <c:v>-0.20391512863107528</c:v>
                </c:pt>
                <c:pt idx="66">
                  <c:v>8.7840575431332724E-2</c:v>
                </c:pt>
                <c:pt idx="67">
                  <c:v>-1.5709554171274637E-2</c:v>
                </c:pt>
                <c:pt idx="68">
                  <c:v>6.9487737040799885E-2</c:v>
                </c:pt>
                <c:pt idx="69">
                  <c:v>-7.5475856684553963E-2</c:v>
                </c:pt>
                <c:pt idx="70">
                  <c:v>0.41521358920465384</c:v>
                </c:pt>
                <c:pt idx="71">
                  <c:v>0.35430851207558206</c:v>
                </c:pt>
                <c:pt idx="72">
                  <c:v>1.2957091682068732E-2</c:v>
                </c:pt>
                <c:pt idx="73">
                  <c:v>0.23348604109519153</c:v>
                </c:pt>
                <c:pt idx="74">
                  <c:v>0.26221890407337722</c:v>
                </c:pt>
                <c:pt idx="75">
                  <c:v>-3.9107786882210269E-2</c:v>
                </c:pt>
                <c:pt idx="76">
                  <c:v>-0.57328061654300011</c:v>
                </c:pt>
                <c:pt idx="77">
                  <c:v>8.0642437918293244E-2</c:v>
                </c:pt>
                <c:pt idx="78">
                  <c:v>-0.19990314191087746</c:v>
                </c:pt>
                <c:pt idx="79">
                  <c:v>9.2672094931649934E-2</c:v>
                </c:pt>
                <c:pt idx="80">
                  <c:v>-0.28249719969574832</c:v>
                </c:pt>
                <c:pt idx="81">
                  <c:v>0.37992065730826702</c:v>
                </c:pt>
                <c:pt idx="82">
                  <c:v>0.68217536904445053</c:v>
                </c:pt>
                <c:pt idx="83">
                  <c:v>0.75578901666510112</c:v>
                </c:pt>
                <c:pt idx="84">
                  <c:v>0.22344005615182766</c:v>
                </c:pt>
                <c:pt idx="85">
                  <c:v>0.88187330916758766</c:v>
                </c:pt>
                <c:pt idx="86">
                  <c:v>-0.25191315244010137</c:v>
                </c:pt>
                <c:pt idx="87">
                  <c:v>-0.41539619068400718</c:v>
                </c:pt>
                <c:pt idx="88">
                  <c:v>-0.24550248841533395</c:v>
                </c:pt>
                <c:pt idx="89">
                  <c:v>-0.40651054095159744</c:v>
                </c:pt>
                <c:pt idx="90">
                  <c:v>-0.28962262617827844</c:v>
                </c:pt>
                <c:pt idx="91">
                  <c:v>-0.52818369597414072</c:v>
                </c:pt>
                <c:pt idx="92">
                  <c:v>0.12726338392331057</c:v>
                </c:pt>
                <c:pt idx="93">
                  <c:v>-0.34377511046851272</c:v>
                </c:pt>
                <c:pt idx="94">
                  <c:v>0.21439776434406851</c:v>
                </c:pt>
                <c:pt idx="95">
                  <c:v>0.12363266108149897</c:v>
                </c:pt>
                <c:pt idx="96">
                  <c:v>0.48345795666636276</c:v>
                </c:pt>
                <c:pt idx="97">
                  <c:v>0.37048441088158152</c:v>
                </c:pt>
                <c:pt idx="98">
                  <c:v>0.35077311467953953</c:v>
                </c:pt>
                <c:pt idx="99">
                  <c:v>-0.23630076346558354</c:v>
                </c:pt>
                <c:pt idx="100">
                  <c:v>-0.41494741683692188</c:v>
                </c:pt>
                <c:pt idx="101">
                  <c:v>-0.42396090895208888</c:v>
                </c:pt>
                <c:pt idx="102">
                  <c:v>-0.3854644107397433</c:v>
                </c:pt>
                <c:pt idx="103">
                  <c:v>-0.4152360090618557</c:v>
                </c:pt>
                <c:pt idx="104">
                  <c:v>9.0296657015042608E-2</c:v>
                </c:pt>
                <c:pt idx="105">
                  <c:v>7.6907642525249759E-2</c:v>
                </c:pt>
                <c:pt idx="106">
                  <c:v>-0.33950543816559065</c:v>
                </c:pt>
                <c:pt idx="107">
                  <c:v>-0.14263352243056754</c:v>
                </c:pt>
                <c:pt idx="108">
                  <c:v>2.2530937855774195E-2</c:v>
                </c:pt>
                <c:pt idx="109">
                  <c:v>-0.22560448587481377</c:v>
                </c:pt>
                <c:pt idx="110">
                  <c:v>0.74970087827093601</c:v>
                </c:pt>
                <c:pt idx="111">
                  <c:v>-0.29959595870520106</c:v>
                </c:pt>
                <c:pt idx="112">
                  <c:v>-0.42956724556473064</c:v>
                </c:pt>
                <c:pt idx="113">
                  <c:v>-0.23558209620622586</c:v>
                </c:pt>
                <c:pt idx="114">
                  <c:v>-0.34961955097279596</c:v>
                </c:pt>
                <c:pt idx="115">
                  <c:v>-0.22159234958188037</c:v>
                </c:pt>
                <c:pt idx="116">
                  <c:v>0.43192416497483355</c:v>
                </c:pt>
                <c:pt idx="117">
                  <c:v>-0.28414838578130075</c:v>
                </c:pt>
                <c:pt idx="118">
                  <c:v>1.2713920084249828E-2</c:v>
                </c:pt>
                <c:pt idx="119">
                  <c:v>-0.23112426778365019</c:v>
                </c:pt>
                <c:pt idx="120">
                  <c:v>-0.55692545920556802</c:v>
                </c:pt>
                <c:pt idx="121">
                  <c:v>-0.38929904188440762</c:v>
                </c:pt>
                <c:pt idx="122">
                  <c:v>0.2092056726526115</c:v>
                </c:pt>
                <c:pt idx="123">
                  <c:v>-2.1830329821253824E-2</c:v>
                </c:pt>
                <c:pt idx="124">
                  <c:v>-0.3670444563235763</c:v>
                </c:pt>
              </c:numCache>
            </c:numRef>
          </c:val>
          <c:smooth val="0"/>
          <c:extLst>
            <c:ext xmlns:c16="http://schemas.microsoft.com/office/drawing/2014/chart" uri="{C3380CC4-5D6E-409C-BE32-E72D297353CC}">
              <c16:uniqueId val="{00000000-0404-1D4D-B96B-FC85A9DEC0F8}"/>
            </c:ext>
          </c:extLst>
        </c:ser>
        <c:dLbls>
          <c:showLegendKey val="0"/>
          <c:showVal val="0"/>
          <c:showCatName val="0"/>
          <c:showSerName val="0"/>
          <c:showPercent val="0"/>
          <c:showBubbleSize val="0"/>
        </c:dLbls>
        <c:smooth val="0"/>
        <c:axId val="2098832496"/>
        <c:axId val="1141359551"/>
      </c:lineChart>
      <c:catAx>
        <c:axId val="209883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59551"/>
        <c:crosses val="autoZero"/>
        <c:auto val="1"/>
        <c:lblAlgn val="ctr"/>
        <c:lblOffset val="100"/>
        <c:noMultiLvlLbl val="0"/>
      </c:catAx>
      <c:valAx>
        <c:axId val="1141359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Deviation from 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Groundwater Storage,</a:t>
            </a:r>
            <a:r>
              <a:rPr lang="en-US" baseline="0"/>
              <a:t> 1902 - 2025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060"/>
              </a:solidFill>
              <a:round/>
            </a:ln>
            <a:effectLst/>
          </c:spPr>
          <c:marker>
            <c:symbol val="none"/>
          </c:marker>
          <c:cat>
            <c:numRef>
              <c:f>Summary!$A$4:$A$128</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Summary!$F$4:$F$128</c:f>
              <c:numCache>
                <c:formatCode>0.00</c:formatCode>
                <c:ptCount val="125"/>
                <c:pt idx="1">
                  <c:v>-7.9713087168744298E-2</c:v>
                </c:pt>
                <c:pt idx="2">
                  <c:v>-0.11587220678987746</c:v>
                </c:pt>
                <c:pt idx="3">
                  <c:v>-3.7800144816993925E-2</c:v>
                </c:pt>
                <c:pt idx="4">
                  <c:v>5.8426257543168249E-2</c:v>
                </c:pt>
                <c:pt idx="5">
                  <c:v>-3.9878364240901631E-2</c:v>
                </c:pt>
                <c:pt idx="6">
                  <c:v>0.41833571387319191</c:v>
                </c:pt>
                <c:pt idx="7">
                  <c:v>0.24560799127163016</c:v>
                </c:pt>
                <c:pt idx="8">
                  <c:v>0.55825630075905719</c:v>
                </c:pt>
                <c:pt idx="9">
                  <c:v>0.89701262417056238</c:v>
                </c:pt>
                <c:pt idx="10">
                  <c:v>0.41145002492061261</c:v>
                </c:pt>
                <c:pt idx="11">
                  <c:v>7.7513316502077836E-2</c:v>
                </c:pt>
                <c:pt idx="12">
                  <c:v>0.21268250964060267</c:v>
                </c:pt>
                <c:pt idx="13">
                  <c:v>0.24038971111997059</c:v>
                </c:pt>
                <c:pt idx="14">
                  <c:v>0.2135399720865227</c:v>
                </c:pt>
                <c:pt idx="15">
                  <c:v>4.3582965804780166E-3</c:v>
                </c:pt>
                <c:pt idx="16">
                  <c:v>3.2336681912133222E-2</c:v>
                </c:pt>
                <c:pt idx="17">
                  <c:v>0.22776677237918702</c:v>
                </c:pt>
                <c:pt idx="18">
                  <c:v>-1.0355253402108935E-2</c:v>
                </c:pt>
                <c:pt idx="19">
                  <c:v>2.2303985220173721E-2</c:v>
                </c:pt>
                <c:pt idx="20">
                  <c:v>0.30208873570456751</c:v>
                </c:pt>
                <c:pt idx="21">
                  <c:v>0.52635502735717221</c:v>
                </c:pt>
                <c:pt idx="22">
                  <c:v>0.48211905316478543</c:v>
                </c:pt>
                <c:pt idx="23">
                  <c:v>0.38846808546871059</c:v>
                </c:pt>
                <c:pt idx="24">
                  <c:v>9.986400043405351E-2</c:v>
                </c:pt>
                <c:pt idx="25">
                  <c:v>9.897313036752807E-2</c:v>
                </c:pt>
                <c:pt idx="26">
                  <c:v>6.6892712951847733E-2</c:v>
                </c:pt>
                <c:pt idx="27">
                  <c:v>9.8606201530504131E-2</c:v>
                </c:pt>
                <c:pt idx="28">
                  <c:v>-5.4726071992022111E-2</c:v>
                </c:pt>
                <c:pt idx="29">
                  <c:v>-8.8995333092196052E-2</c:v>
                </c:pt>
                <c:pt idx="30">
                  <c:v>-0.15744087160053169</c:v>
                </c:pt>
                <c:pt idx="31">
                  <c:v>-0.30885016731363263</c:v>
                </c:pt>
                <c:pt idx="32">
                  <c:v>-0.11137001558920079</c:v>
                </c:pt>
                <c:pt idx="33">
                  <c:v>-0.21711505198639425</c:v>
                </c:pt>
                <c:pt idx="34">
                  <c:v>-0.34441010494169566</c:v>
                </c:pt>
                <c:pt idx="35">
                  <c:v>-0.28258205232229189</c:v>
                </c:pt>
                <c:pt idx="36">
                  <c:v>-0.14278360499343901</c:v>
                </c:pt>
                <c:pt idx="37">
                  <c:v>-8.4871769335500502E-2</c:v>
                </c:pt>
                <c:pt idx="38">
                  <c:v>-0.10337008388693782</c:v>
                </c:pt>
                <c:pt idx="39">
                  <c:v>-0.28966977503863744</c:v>
                </c:pt>
                <c:pt idx="40">
                  <c:v>-0.34022100691586465</c:v>
                </c:pt>
                <c:pt idx="41">
                  <c:v>-0.22541424293309598</c:v>
                </c:pt>
                <c:pt idx="42">
                  <c:v>-0.17677906499856008</c:v>
                </c:pt>
                <c:pt idx="43">
                  <c:v>-0.11527934404970511</c:v>
                </c:pt>
                <c:pt idx="44">
                  <c:v>-0.16448679280964187</c:v>
                </c:pt>
                <c:pt idx="45">
                  <c:v>4.4984749969404117E-2</c:v>
                </c:pt>
                <c:pt idx="46">
                  <c:v>-3.3460735591762297E-2</c:v>
                </c:pt>
                <c:pt idx="47">
                  <c:v>-1.3546078392362158E-2</c:v>
                </c:pt>
                <c:pt idx="48">
                  <c:v>-5.0041081302509366E-2</c:v>
                </c:pt>
                <c:pt idx="49">
                  <c:v>4.9724748337930919E-2</c:v>
                </c:pt>
                <c:pt idx="50">
                  <c:v>0.16107752539220069</c:v>
                </c:pt>
                <c:pt idx="51">
                  <c:v>7.8586543215804883E-2</c:v>
                </c:pt>
                <c:pt idx="52">
                  <c:v>0.12378556176804228</c:v>
                </c:pt>
                <c:pt idx="53">
                  <c:v>-4.6357163043335176E-2</c:v>
                </c:pt>
                <c:pt idx="54">
                  <c:v>-0.21310714319030738</c:v>
                </c:pt>
                <c:pt idx="55">
                  <c:v>0.19989762283773202</c:v>
                </c:pt>
                <c:pt idx="56">
                  <c:v>-0.11933683943229893</c:v>
                </c:pt>
                <c:pt idx="57">
                  <c:v>-2.1901815806239129E-2</c:v>
                </c:pt>
                <c:pt idx="58">
                  <c:v>-0.10662457395608774</c:v>
                </c:pt>
                <c:pt idx="59">
                  <c:v>-0.19078646228443411</c:v>
                </c:pt>
                <c:pt idx="60">
                  <c:v>-0.27219699971416333</c:v>
                </c:pt>
                <c:pt idx="61">
                  <c:v>-0.27823401568995304</c:v>
                </c:pt>
                <c:pt idx="62">
                  <c:v>-0.21771538775194602</c:v>
                </c:pt>
                <c:pt idx="63">
                  <c:v>-0.23051225260804312</c:v>
                </c:pt>
                <c:pt idx="64">
                  <c:v>9.7503761873379127E-2</c:v>
                </c:pt>
                <c:pt idx="65">
                  <c:v>6.5877389365678538E-2</c:v>
                </c:pt>
                <c:pt idx="66">
                  <c:v>-8.8003735510032974E-2</c:v>
                </c:pt>
                <c:pt idx="67">
                  <c:v>-2.7374739540700119E-2</c:v>
                </c:pt>
                <c:pt idx="68">
                  <c:v>0.20607417699386396</c:v>
                </c:pt>
                <c:pt idx="69">
                  <c:v>5.7357370674520965E-2</c:v>
                </c:pt>
                <c:pt idx="70">
                  <c:v>0.54637216816532641</c:v>
                </c:pt>
                <c:pt idx="71">
                  <c:v>0.39186435078282877</c:v>
                </c:pt>
                <c:pt idx="72">
                  <c:v>0.18360191936387751</c:v>
                </c:pt>
                <c:pt idx="73">
                  <c:v>0.12193929633888044</c:v>
                </c:pt>
                <c:pt idx="74">
                  <c:v>5.3802515827180541E-2</c:v>
                </c:pt>
                <c:pt idx="75">
                  <c:v>0.130091623128432</c:v>
                </c:pt>
                <c:pt idx="76">
                  <c:v>-0.17794485986910366</c:v>
                </c:pt>
                <c:pt idx="77">
                  <c:v>-0.27103382147992017</c:v>
                </c:pt>
                <c:pt idx="78">
                  <c:v>-9.9249527026039647E-2</c:v>
                </c:pt>
                <c:pt idx="79">
                  <c:v>3.101470647098347E-2</c:v>
                </c:pt>
                <c:pt idx="80">
                  <c:v>-9.0233230983378473E-2</c:v>
                </c:pt>
                <c:pt idx="81">
                  <c:v>-8.8198861339931198E-2</c:v>
                </c:pt>
                <c:pt idx="82">
                  <c:v>0.45517463792119905</c:v>
                </c:pt>
                <c:pt idx="83">
                  <c:v>0.67330547989585288</c:v>
                </c:pt>
                <c:pt idx="84">
                  <c:v>0.43142392432357413</c:v>
                </c:pt>
                <c:pt idx="85">
                  <c:v>0.31511885660649891</c:v>
                </c:pt>
                <c:pt idx="86">
                  <c:v>0.31258876136992614</c:v>
                </c:pt>
                <c:pt idx="87">
                  <c:v>-0.12404604905000451</c:v>
                </c:pt>
                <c:pt idx="88">
                  <c:v>-0.19967238028228015</c:v>
                </c:pt>
                <c:pt idx="89">
                  <c:v>-0.17257064648026396</c:v>
                </c:pt>
                <c:pt idx="90">
                  <c:v>-0.34867988683125317</c:v>
                </c:pt>
                <c:pt idx="91">
                  <c:v>-0.20117079338950655</c:v>
                </c:pt>
                <c:pt idx="92">
                  <c:v>-0.35620343829433232</c:v>
                </c:pt>
                <c:pt idx="93">
                  <c:v>-0.11323194509602015</c:v>
                </c:pt>
                <c:pt idx="94">
                  <c:v>-0.15320469964598871</c:v>
                </c:pt>
                <c:pt idx="95">
                  <c:v>3.9342416453229563E-2</c:v>
                </c:pt>
                <c:pt idx="96">
                  <c:v>0.31594511989262769</c:v>
                </c:pt>
                <c:pt idx="97">
                  <c:v>0.19696794814350027</c:v>
                </c:pt>
                <c:pt idx="98">
                  <c:v>0.22644451337686322</c:v>
                </c:pt>
                <c:pt idx="99">
                  <c:v>0.13379596837498889</c:v>
                </c:pt>
                <c:pt idx="100">
                  <c:v>-0.18112693805811889</c:v>
                </c:pt>
                <c:pt idx="101">
                  <c:v>-0.28764852012434311</c:v>
                </c:pt>
                <c:pt idx="102">
                  <c:v>-0.23210390498610584</c:v>
                </c:pt>
                <c:pt idx="103">
                  <c:v>-0.25220540612003961</c:v>
                </c:pt>
                <c:pt idx="104">
                  <c:v>-0.10904896830188146</c:v>
                </c:pt>
                <c:pt idx="105">
                  <c:v>-1.3695385030431789E-3</c:v>
                </c:pt>
                <c:pt idx="106">
                  <c:v>-5.8290183524633638E-2</c:v>
                </c:pt>
                <c:pt idx="107">
                  <c:v>-0.2542173273059799</c:v>
                </c:pt>
                <c:pt idx="108">
                  <c:v>-0.1141042841479577</c:v>
                </c:pt>
                <c:pt idx="109">
                  <c:v>-0.16960477579763347</c:v>
                </c:pt>
                <c:pt idx="110">
                  <c:v>0.1054421233062149</c:v>
                </c:pt>
                <c:pt idx="111">
                  <c:v>0.25072693934167284</c:v>
                </c:pt>
                <c:pt idx="112">
                  <c:v>-0.22555788290627871</c:v>
                </c:pt>
                <c:pt idx="113">
                  <c:v>-0.29806229167591652</c:v>
                </c:pt>
                <c:pt idx="114">
                  <c:v>-0.16145144992509183</c:v>
                </c:pt>
                <c:pt idx="115">
                  <c:v>-0.28969273082603703</c:v>
                </c:pt>
                <c:pt idx="116">
                  <c:v>-1.1112213027958348E-2</c:v>
                </c:pt>
                <c:pt idx="117">
                  <c:v>6.2372129312850168E-2</c:v>
                </c:pt>
                <c:pt idx="118">
                  <c:v>-0.17502037435398532</c:v>
                </c:pt>
                <c:pt idx="119">
                  <c:v>-0.12354037295251453</c:v>
                </c:pt>
                <c:pt idx="120">
                  <c:v>-0.33092798143590907</c:v>
                </c:pt>
                <c:pt idx="121">
                  <c:v>-0.2036634617973323</c:v>
                </c:pt>
                <c:pt idx="122">
                  <c:v>-0.22932967268482751</c:v>
                </c:pt>
                <c:pt idx="123">
                  <c:v>-6.4541163914320979E-2</c:v>
                </c:pt>
                <c:pt idx="124">
                  <c:v>-0.17630893761357022</c:v>
                </c:pt>
              </c:numCache>
            </c:numRef>
          </c:val>
          <c:smooth val="0"/>
          <c:extLst>
            <c:ext xmlns:c16="http://schemas.microsoft.com/office/drawing/2014/chart" uri="{C3380CC4-5D6E-409C-BE32-E72D297353CC}">
              <c16:uniqueId val="{00000000-23A1-0D4F-B574-380FB03C9B8E}"/>
            </c:ext>
          </c:extLst>
        </c:ser>
        <c:dLbls>
          <c:showLegendKey val="0"/>
          <c:showVal val="0"/>
          <c:showCatName val="0"/>
          <c:showSerName val="0"/>
          <c:showPercent val="0"/>
          <c:showBubbleSize val="0"/>
        </c:dLbls>
        <c:smooth val="0"/>
        <c:axId val="2098832496"/>
        <c:axId val="1141359551"/>
      </c:lineChart>
      <c:catAx>
        <c:axId val="209883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59551"/>
        <c:crosses val="autoZero"/>
        <c:auto val="1"/>
        <c:lblAlgn val="ctr"/>
        <c:lblOffset val="100"/>
        <c:noMultiLvlLbl val="0"/>
      </c:catAx>
      <c:valAx>
        <c:axId val="1141359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Deviation from 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Precip!$V$4</c:f>
              <c:strCache>
                <c:ptCount val="1"/>
                <c:pt idx="0">
                  <c:v>Megs' # (GSL Policy Update) - Not Area Weighted </c:v>
                </c:pt>
              </c:strCache>
            </c:strRef>
          </c:tx>
          <c:spPr>
            <a:ln w="28575" cap="rnd">
              <a:solidFill>
                <a:schemeClr val="tx2">
                  <a:lumMod val="90000"/>
                  <a:lumOff val="10000"/>
                </a:schemeClr>
              </a:solidFill>
              <a:round/>
            </a:ln>
            <a:effectLst/>
          </c:spPr>
          <c:marker>
            <c:symbol val="none"/>
          </c:marker>
          <c:cat>
            <c:numRef>
              <c:f>Precip!$A$5:$A$129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Precip!$Z$5:$Z$128</c:f>
              <c:numCache>
                <c:formatCode>0.00</c:formatCode>
                <c:ptCount val="124"/>
                <c:pt idx="0">
                  <c:v>40.371442017334694</c:v>
                </c:pt>
                <c:pt idx="1">
                  <c:v>29.386991183973429</c:v>
                </c:pt>
                <c:pt idx="2">
                  <c:v>34.680747038437332</c:v>
                </c:pt>
                <c:pt idx="3">
                  <c:v>48.85540288197943</c:v>
                </c:pt>
                <c:pt idx="4">
                  <c:v>24.408623394244152</c:v>
                </c:pt>
                <c:pt idx="5">
                  <c:v>36.294696127203309</c:v>
                </c:pt>
                <c:pt idx="6">
                  <c:v>44.540506419182826</c:v>
                </c:pt>
                <c:pt idx="7">
                  <c:v>33.594698299437631</c:v>
                </c:pt>
                <c:pt idx="8">
                  <c:v>53.848781450938574</c:v>
                </c:pt>
                <c:pt idx="9">
                  <c:v>31.982849909830382</c:v>
                </c:pt>
                <c:pt idx="10">
                  <c:v>41.62915717534311</c:v>
                </c:pt>
                <c:pt idx="11">
                  <c:v>35.993697120677638</c:v>
                </c:pt>
                <c:pt idx="12">
                  <c:v>33.375330671969031</c:v>
                </c:pt>
                <c:pt idx="13">
                  <c:v>37.918406125652929</c:v>
                </c:pt>
                <c:pt idx="14">
                  <c:v>30.466587907393841</c:v>
                </c:pt>
                <c:pt idx="15">
                  <c:v>30.522724629215791</c:v>
                </c:pt>
                <c:pt idx="16">
                  <c:v>35.629207234628396</c:v>
                </c:pt>
                <c:pt idx="17">
                  <c:v>27.761370636406735</c:v>
                </c:pt>
                <c:pt idx="18">
                  <c:v>24.069620437795439</c:v>
                </c:pt>
                <c:pt idx="19">
                  <c:v>34.285982339555765</c:v>
                </c:pt>
                <c:pt idx="20">
                  <c:v>37.362937793594554</c:v>
                </c:pt>
                <c:pt idx="21">
                  <c:v>35.740199024965577</c:v>
                </c:pt>
                <c:pt idx="22">
                  <c:v>41.090312329187611</c:v>
                </c:pt>
                <c:pt idx="23">
                  <c:v>19.479104651210996</c:v>
                </c:pt>
                <c:pt idx="24">
                  <c:v>37.004013516704966</c:v>
                </c:pt>
                <c:pt idx="25">
                  <c:v>27.985406115552244</c:v>
                </c:pt>
                <c:pt idx="26">
                  <c:v>35.476917295686064</c:v>
                </c:pt>
                <c:pt idx="27">
                  <c:v>29.406191147124616</c:v>
                </c:pt>
                <c:pt idx="28">
                  <c:v>41.501792680709102</c:v>
                </c:pt>
                <c:pt idx="29">
                  <c:v>28.222828030071881</c:v>
                </c:pt>
                <c:pt idx="30">
                  <c:v>20.789369815893469</c:v>
                </c:pt>
                <c:pt idx="31">
                  <c:v>32.32757305580828</c:v>
                </c:pt>
                <c:pt idx="32">
                  <c:v>27.977916588227533</c:v>
                </c:pt>
                <c:pt idx="33">
                  <c:v>18.607955885413968</c:v>
                </c:pt>
                <c:pt idx="34">
                  <c:v>29.884155125852015</c:v>
                </c:pt>
                <c:pt idx="35">
                  <c:v>35.535868296795663</c:v>
                </c:pt>
                <c:pt idx="36">
                  <c:v>32.38397304752548</c:v>
                </c:pt>
                <c:pt idx="37">
                  <c:v>33.865337663167388</c:v>
                </c:pt>
                <c:pt idx="38">
                  <c:v>27.262195136244728</c:v>
                </c:pt>
                <c:pt idx="39">
                  <c:v>27.254582983921654</c:v>
                </c:pt>
                <c:pt idx="40">
                  <c:v>33.943628403244325</c:v>
                </c:pt>
                <c:pt idx="41">
                  <c:v>33.716454642940008</c:v>
                </c:pt>
                <c:pt idx="42">
                  <c:v>30.689728490452548</c:v>
                </c:pt>
                <c:pt idx="43">
                  <c:v>32.344392793364783</c:v>
                </c:pt>
                <c:pt idx="44">
                  <c:v>33.279234794488595</c:v>
                </c:pt>
                <c:pt idx="45">
                  <c:v>29.594799421801476</c:v>
                </c:pt>
                <c:pt idx="46">
                  <c:v>37.199589327256312</c:v>
                </c:pt>
                <c:pt idx="47">
                  <c:v>31.721161902863614</c:v>
                </c:pt>
                <c:pt idx="48">
                  <c:v>35.123770885063109</c:v>
                </c:pt>
                <c:pt idx="49">
                  <c:v>34.817139201462837</c:v>
                </c:pt>
                <c:pt idx="50">
                  <c:v>34.032746710657236</c:v>
                </c:pt>
                <c:pt idx="51">
                  <c:v>41.629627385480241</c:v>
                </c:pt>
                <c:pt idx="52">
                  <c:v>30.870324413777666</c:v>
                </c:pt>
                <c:pt idx="53">
                  <c:v>27.491380645977859</c:v>
                </c:pt>
                <c:pt idx="54">
                  <c:v>33.35780104876951</c:v>
                </c:pt>
                <c:pt idx="55">
                  <c:v>32.882321547343395</c:v>
                </c:pt>
                <c:pt idx="56">
                  <c:v>37.266302500718602</c:v>
                </c:pt>
                <c:pt idx="57">
                  <c:v>33.372342306205582</c:v>
                </c:pt>
                <c:pt idx="58">
                  <c:v>31.725747861630751</c:v>
                </c:pt>
                <c:pt idx="59">
                  <c:v>24.691700773170421</c:v>
                </c:pt>
                <c:pt idx="60">
                  <c:v>25.429783079406089</c:v>
                </c:pt>
                <c:pt idx="61">
                  <c:v>35.693166502326676</c:v>
                </c:pt>
                <c:pt idx="62">
                  <c:v>30.573912271118097</c:v>
                </c:pt>
                <c:pt idx="63">
                  <c:v>34.089274748564542</c:v>
                </c:pt>
                <c:pt idx="64">
                  <c:v>43.370075239312193</c:v>
                </c:pt>
                <c:pt idx="65">
                  <c:v>25.865965313115229</c:v>
                </c:pt>
                <c:pt idx="66">
                  <c:v>35.039006062606411</c:v>
                </c:pt>
                <c:pt idx="67">
                  <c:v>37.472715944106362</c:v>
                </c:pt>
                <c:pt idx="68">
                  <c:v>37.296778726589622</c:v>
                </c:pt>
                <c:pt idx="69">
                  <c:v>35.339586826782678</c:v>
                </c:pt>
                <c:pt idx="70">
                  <c:v>36.898509491458938</c:v>
                </c:pt>
                <c:pt idx="71">
                  <c:v>33.536134929735638</c:v>
                </c:pt>
                <c:pt idx="72">
                  <c:v>38.210408137348715</c:v>
                </c:pt>
                <c:pt idx="73">
                  <c:v>30.375034406461918</c:v>
                </c:pt>
                <c:pt idx="74">
                  <c:v>39.071425294783118</c:v>
                </c:pt>
                <c:pt idx="75">
                  <c:v>28.725471327970542</c:v>
                </c:pt>
                <c:pt idx="76">
                  <c:v>24.439590922813707</c:v>
                </c:pt>
                <c:pt idx="77">
                  <c:v>39.836231581118156</c:v>
                </c:pt>
                <c:pt idx="78">
                  <c:v>26.038447114698027</c:v>
                </c:pt>
                <c:pt idx="79">
                  <c:v>39.167865785891408</c:v>
                </c:pt>
                <c:pt idx="80">
                  <c:v>29.951108528661848</c:v>
                </c:pt>
                <c:pt idx="81">
                  <c:v>51.43256678477109</c:v>
                </c:pt>
                <c:pt idx="82">
                  <c:v>44.52282778497819</c:v>
                </c:pt>
                <c:pt idx="83">
                  <c:v>45.119534266058281</c:v>
                </c:pt>
                <c:pt idx="84">
                  <c:v>36.323118882941934</c:v>
                </c:pt>
                <c:pt idx="85">
                  <c:v>49.053763290546492</c:v>
                </c:pt>
                <c:pt idx="86">
                  <c:v>24.064981906507779</c:v>
                </c:pt>
                <c:pt idx="87">
                  <c:v>21.424098780659239</c:v>
                </c:pt>
                <c:pt idx="88">
                  <c:v>29.417689466082646</c:v>
                </c:pt>
                <c:pt idx="89">
                  <c:v>26.028676739337151</c:v>
                </c:pt>
                <c:pt idx="90">
                  <c:v>32.560371990179746</c:v>
                </c:pt>
                <c:pt idx="91">
                  <c:v>23.3456020272445</c:v>
                </c:pt>
                <c:pt idx="92">
                  <c:v>41.444127179578643</c:v>
                </c:pt>
                <c:pt idx="93">
                  <c:v>27.262530432496671</c:v>
                </c:pt>
                <c:pt idx="94">
                  <c:v>43.651822339282425</c:v>
                </c:pt>
                <c:pt idx="95">
                  <c:v>33.643477714009187</c:v>
                </c:pt>
                <c:pt idx="96">
                  <c:v>41.571816980234246</c:v>
                </c:pt>
                <c:pt idx="97">
                  <c:v>38.856597255482711</c:v>
                </c:pt>
                <c:pt idx="98">
                  <c:v>34.926230454822921</c:v>
                </c:pt>
                <c:pt idx="99">
                  <c:v>26.888383007165242</c:v>
                </c:pt>
                <c:pt idx="100">
                  <c:v>25.477712369674464</c:v>
                </c:pt>
                <c:pt idx="101">
                  <c:v>29.007941384016075</c:v>
                </c:pt>
                <c:pt idx="102">
                  <c:v>25.146447483819269</c:v>
                </c:pt>
                <c:pt idx="103">
                  <c:v>29.684023888862715</c:v>
                </c:pt>
                <c:pt idx="104">
                  <c:v>39.958937037174223</c:v>
                </c:pt>
                <c:pt idx="105">
                  <c:v>38.912438398297333</c:v>
                </c:pt>
                <c:pt idx="106">
                  <c:v>26.954189659215377</c:v>
                </c:pt>
                <c:pt idx="107">
                  <c:v>32.527269780090236</c:v>
                </c:pt>
                <c:pt idx="108">
                  <c:v>36.095157930332967</c:v>
                </c:pt>
                <c:pt idx="109">
                  <c:v>30.934828114270719</c:v>
                </c:pt>
                <c:pt idx="110">
                  <c:v>47.857692009130631</c:v>
                </c:pt>
                <c:pt idx="111">
                  <c:v>23.081756666711527</c:v>
                </c:pt>
                <c:pt idx="112">
                  <c:v>28.759187818137072</c:v>
                </c:pt>
                <c:pt idx="113">
                  <c:v>32.827551771271708</c:v>
                </c:pt>
                <c:pt idx="114">
                  <c:v>26.957209962578315</c:v>
                </c:pt>
                <c:pt idx="115">
                  <c:v>29.648939907894999</c:v>
                </c:pt>
                <c:pt idx="116">
                  <c:v>40.048948290391799</c:v>
                </c:pt>
                <c:pt idx="117">
                  <c:v>21.339667401003322</c:v>
                </c:pt>
                <c:pt idx="118">
                  <c:v>38.940291704404949</c:v>
                </c:pt>
                <c:pt idx="119">
                  <c:v>33.758342005720621</c:v>
                </c:pt>
                <c:pt idx="120">
                  <c:v>29.871879731707388</c:v>
                </c:pt>
                <c:pt idx="121">
                  <c:v>26.633161170029659</c:v>
                </c:pt>
                <c:pt idx="122">
                  <c:v>48.915544874372166</c:v>
                </c:pt>
              </c:numCache>
            </c:numRef>
          </c:val>
          <c:smooth val="0"/>
          <c:extLst>
            <c:ext xmlns:c16="http://schemas.microsoft.com/office/drawing/2014/chart" uri="{C3380CC4-5D6E-409C-BE32-E72D297353CC}">
              <c16:uniqueId val="{00000001-BA2E-094B-A695-7608E2D37918}"/>
            </c:ext>
          </c:extLst>
        </c:ser>
        <c:ser>
          <c:idx val="0"/>
          <c:order val="1"/>
          <c:tx>
            <c:v>Baylee Average P - Area Weighted</c:v>
          </c:tx>
          <c:spPr>
            <a:ln w="28575" cap="rnd">
              <a:solidFill>
                <a:schemeClr val="tx2">
                  <a:lumMod val="25000"/>
                  <a:lumOff val="75000"/>
                </a:schemeClr>
              </a:solidFill>
              <a:round/>
            </a:ln>
            <a:effectLst/>
          </c:spPr>
          <c:marker>
            <c:symbol val="none"/>
          </c:marker>
          <c:cat>
            <c:numRef>
              <c:f>Precip!$A$5:$A$129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Precip!$Y$5:$Y$129</c:f>
              <c:numCache>
                <c:formatCode>General</c:formatCode>
                <c:ptCount val="125"/>
                <c:pt idx="0">
                  <c:v>32.201223932838481</c:v>
                </c:pt>
                <c:pt idx="1">
                  <c:v>23.950322549938367</c:v>
                </c:pt>
                <c:pt idx="2">
                  <c:v>28.637793376772372</c:v>
                </c:pt>
                <c:pt idx="3">
                  <c:v>37.119668007885437</c:v>
                </c:pt>
                <c:pt idx="4">
                  <c:v>22.739561158838697</c:v>
                </c:pt>
                <c:pt idx="5">
                  <c:v>32.63075283766414</c:v>
                </c:pt>
                <c:pt idx="6">
                  <c:v>41.009487863437293</c:v>
                </c:pt>
                <c:pt idx="7">
                  <c:v>31.327455889652938</c:v>
                </c:pt>
                <c:pt idx="8">
                  <c:v>47.470368656591248</c:v>
                </c:pt>
                <c:pt idx="9">
                  <c:v>29.235317349842596</c:v>
                </c:pt>
                <c:pt idx="10">
                  <c:v>38.571810080472595</c:v>
                </c:pt>
                <c:pt idx="11">
                  <c:v>33.138365947089461</c:v>
                </c:pt>
                <c:pt idx="12">
                  <c:v>32.748032209276367</c:v>
                </c:pt>
                <c:pt idx="13">
                  <c:v>35.907833583622022</c:v>
                </c:pt>
                <c:pt idx="14">
                  <c:v>29.953196982627254</c:v>
                </c:pt>
                <c:pt idx="15">
                  <c:v>29.697128454268633</c:v>
                </c:pt>
                <c:pt idx="16">
                  <c:v>35.18318590475652</c:v>
                </c:pt>
                <c:pt idx="17">
                  <c:v>27.281057349246126</c:v>
                </c:pt>
                <c:pt idx="18">
                  <c:v>23.672653324161853</c:v>
                </c:pt>
                <c:pt idx="19">
                  <c:v>33.086965353070532</c:v>
                </c:pt>
                <c:pt idx="20">
                  <c:v>37.0954278305475</c:v>
                </c:pt>
                <c:pt idx="21">
                  <c:v>34.872144110709478</c:v>
                </c:pt>
                <c:pt idx="22">
                  <c:v>38.961315502502046</c:v>
                </c:pt>
                <c:pt idx="23">
                  <c:v>19.348477599287918</c:v>
                </c:pt>
                <c:pt idx="24">
                  <c:v>37.404492339746675</c:v>
                </c:pt>
                <c:pt idx="25">
                  <c:v>29.639087807641587</c:v>
                </c:pt>
                <c:pt idx="26">
                  <c:v>35.609016689586099</c:v>
                </c:pt>
                <c:pt idx="27">
                  <c:v>27.730658315751526</c:v>
                </c:pt>
                <c:pt idx="28">
                  <c:v>37.761208190323131</c:v>
                </c:pt>
                <c:pt idx="29">
                  <c:v>28.276786195031313</c:v>
                </c:pt>
                <c:pt idx="30">
                  <c:v>20.471096081607755</c:v>
                </c:pt>
                <c:pt idx="31">
                  <c:v>32.888561508557579</c:v>
                </c:pt>
                <c:pt idx="32">
                  <c:v>26.141159151749946</c:v>
                </c:pt>
                <c:pt idx="33">
                  <c:v>18.549483461959795</c:v>
                </c:pt>
                <c:pt idx="34">
                  <c:v>28.035442886416018</c:v>
                </c:pt>
                <c:pt idx="35">
                  <c:v>34.717700994848769</c:v>
                </c:pt>
                <c:pt idx="36">
                  <c:v>32.969603341914038</c:v>
                </c:pt>
                <c:pt idx="37">
                  <c:v>32.894925727490971</c:v>
                </c:pt>
                <c:pt idx="38">
                  <c:v>27.340889929775162</c:v>
                </c:pt>
                <c:pt idx="39">
                  <c:v>27.029667575091459</c:v>
                </c:pt>
                <c:pt idx="40">
                  <c:v>33.314165837885987</c:v>
                </c:pt>
                <c:pt idx="41">
                  <c:v>31.618496145077504</c:v>
                </c:pt>
                <c:pt idx="42">
                  <c:v>30.249697114363443</c:v>
                </c:pt>
                <c:pt idx="43">
                  <c:v>29.409587725233319</c:v>
                </c:pt>
                <c:pt idx="44">
                  <c:v>33.566972211617845</c:v>
                </c:pt>
                <c:pt idx="45">
                  <c:v>28.298455447556883</c:v>
                </c:pt>
                <c:pt idx="46">
                  <c:v>35.372433577651016</c:v>
                </c:pt>
                <c:pt idx="47">
                  <c:v>30.246918410364735</c:v>
                </c:pt>
                <c:pt idx="48">
                  <c:v>34.183074586527546</c:v>
                </c:pt>
                <c:pt idx="49">
                  <c:v>33.102501525705293</c:v>
                </c:pt>
                <c:pt idx="50">
                  <c:v>33.600067518790809</c:v>
                </c:pt>
                <c:pt idx="51">
                  <c:v>39.137985810550759</c:v>
                </c:pt>
                <c:pt idx="52">
                  <c:v>30.037593846656925</c:v>
                </c:pt>
                <c:pt idx="53">
                  <c:v>25.675875424096979</c:v>
                </c:pt>
                <c:pt idx="54">
                  <c:v>31.962881317976787</c:v>
                </c:pt>
                <c:pt idx="55">
                  <c:v>31.249691939073212</c:v>
                </c:pt>
                <c:pt idx="56">
                  <c:v>34.599875020277878</c:v>
                </c:pt>
                <c:pt idx="57">
                  <c:v>30.91223939256389</c:v>
                </c:pt>
                <c:pt idx="58">
                  <c:v>29.84791790130722</c:v>
                </c:pt>
                <c:pt idx="59">
                  <c:v>22.678530190293397</c:v>
                </c:pt>
                <c:pt idx="60">
                  <c:v>25.294582990256462</c:v>
                </c:pt>
                <c:pt idx="61">
                  <c:v>34.04028043374236</c:v>
                </c:pt>
                <c:pt idx="62">
                  <c:v>29.405506376365423</c:v>
                </c:pt>
                <c:pt idx="63">
                  <c:v>32.230562783441727</c:v>
                </c:pt>
                <c:pt idx="64">
                  <c:v>39.645038528519073</c:v>
                </c:pt>
                <c:pt idx="65">
                  <c:v>24.042546437771421</c:v>
                </c:pt>
                <c:pt idx="66">
                  <c:v>33.83355167727025</c:v>
                </c:pt>
                <c:pt idx="67">
                  <c:v>35.332979035249565</c:v>
                </c:pt>
                <c:pt idx="68">
                  <c:v>34.51500995509911</c:v>
                </c:pt>
                <c:pt idx="69">
                  <c:v>32.780226320993137</c:v>
                </c:pt>
                <c:pt idx="70">
                  <c:v>36.677083104277045</c:v>
                </c:pt>
                <c:pt idx="71">
                  <c:v>33.629351017915177</c:v>
                </c:pt>
                <c:pt idx="72">
                  <c:v>36.866357594327631</c:v>
                </c:pt>
                <c:pt idx="73">
                  <c:v>29.739078365774073</c:v>
                </c:pt>
                <c:pt idx="74">
                  <c:v>37.298590566880321</c:v>
                </c:pt>
                <c:pt idx="75">
                  <c:v>30.385781897440143</c:v>
                </c:pt>
                <c:pt idx="76">
                  <c:v>22.808977384570568</c:v>
                </c:pt>
                <c:pt idx="77">
                  <c:v>38.557384232248801</c:v>
                </c:pt>
                <c:pt idx="78">
                  <c:v>25.215816907551591</c:v>
                </c:pt>
                <c:pt idx="79">
                  <c:v>37.01248703539283</c:v>
                </c:pt>
                <c:pt idx="80">
                  <c:v>25.994774645535816</c:v>
                </c:pt>
                <c:pt idx="81">
                  <c:v>48.213079410385014</c:v>
                </c:pt>
                <c:pt idx="82">
                  <c:v>40.672186799110889</c:v>
                </c:pt>
                <c:pt idx="83">
                  <c:v>41.473713351318331</c:v>
                </c:pt>
                <c:pt idx="84">
                  <c:v>32.366093702033098</c:v>
                </c:pt>
                <c:pt idx="85">
                  <c:v>46.646425678731646</c:v>
                </c:pt>
                <c:pt idx="86">
                  <c:v>24.435360815930601</c:v>
                </c:pt>
                <c:pt idx="87">
                  <c:v>21.940651284380039</c:v>
                </c:pt>
                <c:pt idx="88">
                  <c:v>29.765908051095209</c:v>
                </c:pt>
                <c:pt idx="89">
                  <c:v>25.932260879882048</c:v>
                </c:pt>
                <c:pt idx="90">
                  <c:v>31.465794643978096</c:v>
                </c:pt>
                <c:pt idx="91">
                  <c:v>22.745169048037049</c:v>
                </c:pt>
                <c:pt idx="92">
                  <c:v>39.095438824912925</c:v>
                </c:pt>
                <c:pt idx="93">
                  <c:v>24.889995599274336</c:v>
                </c:pt>
                <c:pt idx="94">
                  <c:v>39.656480386565192</c:v>
                </c:pt>
                <c:pt idx="95">
                  <c:v>33.361225908729033</c:v>
                </c:pt>
                <c:pt idx="96">
                  <c:v>43.503253243625196</c:v>
                </c:pt>
                <c:pt idx="97">
                  <c:v>37.088243310714581</c:v>
                </c:pt>
                <c:pt idx="98">
                  <c:v>34.826714320643497</c:v>
                </c:pt>
                <c:pt idx="99">
                  <c:v>25.385256365394305</c:v>
                </c:pt>
                <c:pt idx="100">
                  <c:v>23.084082123876325</c:v>
                </c:pt>
                <c:pt idx="101">
                  <c:v>27.189259752829837</c:v>
                </c:pt>
                <c:pt idx="102">
                  <c:v>25.606017460896386</c:v>
                </c:pt>
                <c:pt idx="103">
                  <c:v>28.577541242925559</c:v>
                </c:pt>
                <c:pt idx="104">
                  <c:v>36.676841654430099</c:v>
                </c:pt>
                <c:pt idx="105">
                  <c:v>36.29465050258419</c:v>
                </c:pt>
                <c:pt idx="106">
                  <c:v>26.102318628599694</c:v>
                </c:pt>
                <c:pt idx="107">
                  <c:v>30.440604014754893</c:v>
                </c:pt>
                <c:pt idx="108">
                  <c:v>34.465179502942874</c:v>
                </c:pt>
                <c:pt idx="109">
                  <c:v>29.025331295799827</c:v>
                </c:pt>
                <c:pt idx="110">
                  <c:v>45.938537214138748</c:v>
                </c:pt>
                <c:pt idx="111">
                  <c:v>23.351655465552501</c:v>
                </c:pt>
                <c:pt idx="112">
                  <c:v>26.764509071360841</c:v>
                </c:pt>
                <c:pt idx="113">
                  <c:v>34.559452329661411</c:v>
                </c:pt>
                <c:pt idx="114">
                  <c:v>26.431094018059785</c:v>
                </c:pt>
                <c:pt idx="115">
                  <c:v>30.34531483607298</c:v>
                </c:pt>
                <c:pt idx="116">
                  <c:v>42.250908466884681</c:v>
                </c:pt>
                <c:pt idx="117">
                  <c:v>21.671654837634634</c:v>
                </c:pt>
                <c:pt idx="118">
                  <c:v>35.912353629110569</c:v>
                </c:pt>
                <c:pt idx="119">
                  <c:v>25.213366472831488</c:v>
                </c:pt>
                <c:pt idx="120">
                  <c:v>23.241442912962377</c:v>
                </c:pt>
                <c:pt idx="121">
                  <c:v>29.438915688901602</c:v>
                </c:pt>
                <c:pt idx="122">
                  <c:v>39.702737430223209</c:v>
                </c:pt>
                <c:pt idx="123">
                  <c:v>30.641934159652699</c:v>
                </c:pt>
                <c:pt idx="124">
                  <c:v>25.145405957367132</c:v>
                </c:pt>
              </c:numCache>
            </c:numRef>
          </c:val>
          <c:smooth val="0"/>
          <c:extLst>
            <c:ext xmlns:c16="http://schemas.microsoft.com/office/drawing/2014/chart" uri="{C3380CC4-5D6E-409C-BE32-E72D297353CC}">
              <c16:uniqueId val="{00000000-BA2E-094B-A695-7608E2D37918}"/>
            </c:ext>
          </c:extLst>
        </c:ser>
        <c:dLbls>
          <c:showLegendKey val="0"/>
          <c:showVal val="0"/>
          <c:showCatName val="0"/>
          <c:showSerName val="0"/>
          <c:showPercent val="0"/>
          <c:showBubbleSize val="0"/>
        </c:dLbls>
        <c:smooth val="0"/>
        <c:axId val="76255087"/>
        <c:axId val="76290927"/>
      </c:lineChart>
      <c:catAx>
        <c:axId val="7625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0927"/>
        <c:crosses val="autoZero"/>
        <c:auto val="1"/>
        <c:lblAlgn val="ctr"/>
        <c:lblOffset val="100"/>
        <c:noMultiLvlLbl val="0"/>
      </c:catAx>
      <c:valAx>
        <c:axId val="7629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Precip (inches)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5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'Precip-2023 (PRISM+SNOTEL)'!$V$4</c:f>
              <c:strCache>
                <c:ptCount val="1"/>
                <c:pt idx="0">
                  <c:v>Megs' # (GSL Policy Update) - Not Area Weighted</c:v>
                </c:pt>
              </c:strCache>
            </c:strRef>
          </c:tx>
          <c:spPr>
            <a:ln w="28575" cap="rnd">
              <a:solidFill>
                <a:schemeClr val="tx2">
                  <a:lumMod val="90000"/>
                  <a:lumOff val="10000"/>
                </a:schemeClr>
              </a:solidFill>
              <a:round/>
            </a:ln>
            <a:effectLst/>
          </c:spPr>
          <c:marker>
            <c:symbol val="none"/>
          </c:marker>
          <c:cat>
            <c:numRef>
              <c:f>Precip!$A$5:$A$129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'Precip-2023 (PRISM+SNOTEL)'!$Z$5:$Z$128</c:f>
              <c:numCache>
                <c:formatCode>0.00</c:formatCode>
                <c:ptCount val="124"/>
                <c:pt idx="0">
                  <c:v>40.371442017334694</c:v>
                </c:pt>
                <c:pt idx="1">
                  <c:v>29.386991183973429</c:v>
                </c:pt>
                <c:pt idx="2">
                  <c:v>34.680747038437332</c:v>
                </c:pt>
                <c:pt idx="3">
                  <c:v>48.85540288197943</c:v>
                </c:pt>
                <c:pt idx="4">
                  <c:v>24.408623394244152</c:v>
                </c:pt>
                <c:pt idx="5">
                  <c:v>36.294696127203309</c:v>
                </c:pt>
                <c:pt idx="6">
                  <c:v>44.540506419182826</c:v>
                </c:pt>
                <c:pt idx="7">
                  <c:v>33.594698299437631</c:v>
                </c:pt>
                <c:pt idx="8">
                  <c:v>53.848781450938574</c:v>
                </c:pt>
                <c:pt idx="9">
                  <c:v>31.982849909830382</c:v>
                </c:pt>
                <c:pt idx="10">
                  <c:v>41.62915717534311</c:v>
                </c:pt>
                <c:pt idx="11">
                  <c:v>35.993697120677638</c:v>
                </c:pt>
                <c:pt idx="12">
                  <c:v>33.375330671969031</c:v>
                </c:pt>
                <c:pt idx="13">
                  <c:v>37.918406125652929</c:v>
                </c:pt>
                <c:pt idx="14">
                  <c:v>30.466587907393841</c:v>
                </c:pt>
                <c:pt idx="15">
                  <c:v>30.522724629215791</c:v>
                </c:pt>
                <c:pt idx="16">
                  <c:v>35.629207234628396</c:v>
                </c:pt>
                <c:pt idx="17">
                  <c:v>27.761370636406735</c:v>
                </c:pt>
                <c:pt idx="18">
                  <c:v>24.069620437795439</c:v>
                </c:pt>
                <c:pt idx="19">
                  <c:v>34.285982339555765</c:v>
                </c:pt>
                <c:pt idx="20">
                  <c:v>37.362937793594554</c:v>
                </c:pt>
                <c:pt idx="21">
                  <c:v>35.740199024965577</c:v>
                </c:pt>
                <c:pt idx="22">
                  <c:v>41.090312329187611</c:v>
                </c:pt>
                <c:pt idx="23">
                  <c:v>19.479104651210996</c:v>
                </c:pt>
                <c:pt idx="24">
                  <c:v>37.004013516704966</c:v>
                </c:pt>
                <c:pt idx="25">
                  <c:v>27.985406115552244</c:v>
                </c:pt>
                <c:pt idx="26">
                  <c:v>35.476917295686064</c:v>
                </c:pt>
                <c:pt idx="27">
                  <c:v>29.406191147124616</c:v>
                </c:pt>
                <c:pt idx="28">
                  <c:v>41.501792680709102</c:v>
                </c:pt>
                <c:pt idx="29">
                  <c:v>28.222828030071881</c:v>
                </c:pt>
                <c:pt idx="30">
                  <c:v>20.789369815893469</c:v>
                </c:pt>
                <c:pt idx="31">
                  <c:v>32.32757305580828</c:v>
                </c:pt>
                <c:pt idx="32">
                  <c:v>27.977916588227533</c:v>
                </c:pt>
                <c:pt idx="33">
                  <c:v>18.607955885413968</c:v>
                </c:pt>
                <c:pt idx="34">
                  <c:v>29.884155125852015</c:v>
                </c:pt>
                <c:pt idx="35">
                  <c:v>35.535868296795663</c:v>
                </c:pt>
                <c:pt idx="36">
                  <c:v>32.38397304752548</c:v>
                </c:pt>
                <c:pt idx="37">
                  <c:v>33.865337663167388</c:v>
                </c:pt>
                <c:pt idx="38">
                  <c:v>27.262195136244728</c:v>
                </c:pt>
                <c:pt idx="39">
                  <c:v>27.254582983921654</c:v>
                </c:pt>
                <c:pt idx="40">
                  <c:v>33.943628403244325</c:v>
                </c:pt>
                <c:pt idx="41">
                  <c:v>33.716454642940008</c:v>
                </c:pt>
                <c:pt idx="42">
                  <c:v>30.689728490452548</c:v>
                </c:pt>
                <c:pt idx="43">
                  <c:v>32.344392793364783</c:v>
                </c:pt>
                <c:pt idx="44">
                  <c:v>33.279234794488595</c:v>
                </c:pt>
                <c:pt idx="45">
                  <c:v>29.594799421801476</c:v>
                </c:pt>
                <c:pt idx="46">
                  <c:v>37.199589327256312</c:v>
                </c:pt>
                <c:pt idx="47">
                  <c:v>31.721161902863614</c:v>
                </c:pt>
                <c:pt idx="48">
                  <c:v>35.123770885063109</c:v>
                </c:pt>
                <c:pt idx="49">
                  <c:v>34.817139201462837</c:v>
                </c:pt>
                <c:pt idx="50">
                  <c:v>34.032746710657236</c:v>
                </c:pt>
                <c:pt idx="51">
                  <c:v>41.629627385480241</c:v>
                </c:pt>
                <c:pt idx="52">
                  <c:v>30.870324413777666</c:v>
                </c:pt>
                <c:pt idx="53">
                  <c:v>27.491380645977859</c:v>
                </c:pt>
                <c:pt idx="54">
                  <c:v>33.35780104876951</c:v>
                </c:pt>
                <c:pt idx="55">
                  <c:v>32.882321547343395</c:v>
                </c:pt>
                <c:pt idx="56">
                  <c:v>37.266302500718602</c:v>
                </c:pt>
                <c:pt idx="57">
                  <c:v>33.372342306205582</c:v>
                </c:pt>
                <c:pt idx="58">
                  <c:v>31.725747861630751</c:v>
                </c:pt>
                <c:pt idx="59">
                  <c:v>24.691700773170421</c:v>
                </c:pt>
                <c:pt idx="60">
                  <c:v>25.429783079406089</c:v>
                </c:pt>
                <c:pt idx="61">
                  <c:v>35.693166502326676</c:v>
                </c:pt>
                <c:pt idx="62">
                  <c:v>30.573912271118097</c:v>
                </c:pt>
                <c:pt idx="63">
                  <c:v>34.089274748564542</c:v>
                </c:pt>
                <c:pt idx="64">
                  <c:v>43.370075239312193</c:v>
                </c:pt>
                <c:pt idx="65">
                  <c:v>25.865965313115229</c:v>
                </c:pt>
                <c:pt idx="66">
                  <c:v>35.039006062606411</c:v>
                </c:pt>
                <c:pt idx="67">
                  <c:v>37.472715944106362</c:v>
                </c:pt>
                <c:pt idx="68">
                  <c:v>37.296778726589622</c:v>
                </c:pt>
                <c:pt idx="69">
                  <c:v>35.339586826782678</c:v>
                </c:pt>
                <c:pt idx="70">
                  <c:v>36.898509491458938</c:v>
                </c:pt>
                <c:pt idx="71">
                  <c:v>33.536134929735638</c:v>
                </c:pt>
                <c:pt idx="72">
                  <c:v>38.210408137348715</c:v>
                </c:pt>
                <c:pt idx="73">
                  <c:v>30.375034406461918</c:v>
                </c:pt>
                <c:pt idx="74">
                  <c:v>39.071425294783118</c:v>
                </c:pt>
                <c:pt idx="75">
                  <c:v>28.725471327970542</c:v>
                </c:pt>
                <c:pt idx="76">
                  <c:v>24.439590922813707</c:v>
                </c:pt>
                <c:pt idx="77">
                  <c:v>39.836231581118156</c:v>
                </c:pt>
                <c:pt idx="78">
                  <c:v>26.038447114698027</c:v>
                </c:pt>
                <c:pt idx="79">
                  <c:v>39.167865785891408</c:v>
                </c:pt>
                <c:pt idx="80">
                  <c:v>29.951108528661848</c:v>
                </c:pt>
                <c:pt idx="81">
                  <c:v>51.43256678477109</c:v>
                </c:pt>
                <c:pt idx="82">
                  <c:v>44.52282778497819</c:v>
                </c:pt>
                <c:pt idx="83">
                  <c:v>45.119534266058281</c:v>
                </c:pt>
                <c:pt idx="84">
                  <c:v>36.323118882941934</c:v>
                </c:pt>
                <c:pt idx="85">
                  <c:v>49.053763290546492</c:v>
                </c:pt>
                <c:pt idx="86">
                  <c:v>24.064981906507779</c:v>
                </c:pt>
                <c:pt idx="87">
                  <c:v>21.424098780659239</c:v>
                </c:pt>
                <c:pt idx="88">
                  <c:v>29.417689466082646</c:v>
                </c:pt>
                <c:pt idx="89">
                  <c:v>26.028676739337151</c:v>
                </c:pt>
                <c:pt idx="90">
                  <c:v>32.560371990179746</c:v>
                </c:pt>
                <c:pt idx="91">
                  <c:v>23.3456020272445</c:v>
                </c:pt>
                <c:pt idx="92">
                  <c:v>41.444127179578643</c:v>
                </c:pt>
                <c:pt idx="93">
                  <c:v>27.262530432496671</c:v>
                </c:pt>
                <c:pt idx="94">
                  <c:v>43.651822339282425</c:v>
                </c:pt>
                <c:pt idx="95">
                  <c:v>33.643477714009187</c:v>
                </c:pt>
                <c:pt idx="96">
                  <c:v>41.571816980234246</c:v>
                </c:pt>
                <c:pt idx="97">
                  <c:v>38.856597255482711</c:v>
                </c:pt>
                <c:pt idx="98">
                  <c:v>34.926230454822921</c:v>
                </c:pt>
                <c:pt idx="99">
                  <c:v>26.888383007165242</c:v>
                </c:pt>
                <c:pt idx="100">
                  <c:v>25.477712369674464</c:v>
                </c:pt>
                <c:pt idx="101">
                  <c:v>29.007941384016075</c:v>
                </c:pt>
                <c:pt idx="102">
                  <c:v>25.146447483819269</c:v>
                </c:pt>
                <c:pt idx="103">
                  <c:v>29.684023888862715</c:v>
                </c:pt>
                <c:pt idx="104">
                  <c:v>39.958937037174223</c:v>
                </c:pt>
                <c:pt idx="105">
                  <c:v>38.912438398297333</c:v>
                </c:pt>
                <c:pt idx="106">
                  <c:v>26.954189659215377</c:v>
                </c:pt>
                <c:pt idx="107">
                  <c:v>32.527269780090236</c:v>
                </c:pt>
                <c:pt idx="108">
                  <c:v>36.095157930332967</c:v>
                </c:pt>
                <c:pt idx="109">
                  <c:v>30.934828114270719</c:v>
                </c:pt>
                <c:pt idx="110">
                  <c:v>47.857692009130631</c:v>
                </c:pt>
                <c:pt idx="111">
                  <c:v>23.081756666711527</c:v>
                </c:pt>
                <c:pt idx="112">
                  <c:v>28.759187818137072</c:v>
                </c:pt>
                <c:pt idx="113">
                  <c:v>32.827551771271708</c:v>
                </c:pt>
                <c:pt idx="114">
                  <c:v>26.957209962578315</c:v>
                </c:pt>
                <c:pt idx="115">
                  <c:v>29.648939907894999</c:v>
                </c:pt>
                <c:pt idx="116">
                  <c:v>40.048948290391799</c:v>
                </c:pt>
                <c:pt idx="117">
                  <c:v>21.339667401003322</c:v>
                </c:pt>
                <c:pt idx="118">
                  <c:v>38.940291704404949</c:v>
                </c:pt>
                <c:pt idx="119">
                  <c:v>33.758342005720621</c:v>
                </c:pt>
                <c:pt idx="120">
                  <c:v>29.871879731707388</c:v>
                </c:pt>
                <c:pt idx="121">
                  <c:v>26.633161170029659</c:v>
                </c:pt>
                <c:pt idx="122">
                  <c:v>48.915544874372166</c:v>
                </c:pt>
              </c:numCache>
            </c:numRef>
          </c:val>
          <c:smooth val="0"/>
          <c:extLst>
            <c:ext xmlns:c16="http://schemas.microsoft.com/office/drawing/2014/chart" uri="{C3380CC4-5D6E-409C-BE32-E72D297353CC}">
              <c16:uniqueId val="{00000000-622A-174B-B439-A3FDAB03AD46}"/>
            </c:ext>
          </c:extLst>
        </c:ser>
        <c:ser>
          <c:idx val="0"/>
          <c:order val="1"/>
          <c:tx>
            <c:v>Baylee Average P - Area Weighted</c:v>
          </c:tx>
          <c:spPr>
            <a:ln w="28575" cap="rnd">
              <a:solidFill>
                <a:schemeClr val="tx2">
                  <a:lumMod val="25000"/>
                  <a:lumOff val="75000"/>
                </a:schemeClr>
              </a:solidFill>
              <a:round/>
            </a:ln>
            <a:effectLst/>
          </c:spPr>
          <c:marker>
            <c:symbol val="none"/>
          </c:marker>
          <c:cat>
            <c:numRef>
              <c:f>Precip!$A$5:$A$129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'Precip-2023 (PRISM+SNOTEL)'!$Y$5:$Y$129</c:f>
              <c:numCache>
                <c:formatCode>0.00</c:formatCode>
                <c:ptCount val="125"/>
                <c:pt idx="0">
                  <c:v>32.201181608021912</c:v>
                </c:pt>
                <c:pt idx="1">
                  <c:v>23.950064120185122</c:v>
                </c:pt>
                <c:pt idx="2">
                  <c:v>28.637695552515591</c:v>
                </c:pt>
                <c:pt idx="3">
                  <c:v>37.119032489124628</c:v>
                </c:pt>
                <c:pt idx="4">
                  <c:v>22.73970530196878</c:v>
                </c:pt>
                <c:pt idx="5">
                  <c:v>32.630633772961858</c:v>
                </c:pt>
                <c:pt idx="6">
                  <c:v>41.00904500718584</c:v>
                </c:pt>
                <c:pt idx="7">
                  <c:v>31.327251566154246</c:v>
                </c:pt>
                <c:pt idx="8">
                  <c:v>47.47007171766888</c:v>
                </c:pt>
                <c:pt idx="9">
                  <c:v>29.235404237419477</c:v>
                </c:pt>
                <c:pt idx="10">
                  <c:v>38.571417214585239</c:v>
                </c:pt>
                <c:pt idx="11">
                  <c:v>33.138652816302454</c:v>
                </c:pt>
                <c:pt idx="12">
                  <c:v>32.74816369402064</c:v>
                </c:pt>
                <c:pt idx="13">
                  <c:v>35.907802049550263</c:v>
                </c:pt>
                <c:pt idx="14">
                  <c:v>29.953336486484236</c:v>
                </c:pt>
                <c:pt idx="15">
                  <c:v>29.697540643717943</c:v>
                </c:pt>
                <c:pt idx="16">
                  <c:v>35.183698190789876</c:v>
                </c:pt>
                <c:pt idx="17">
                  <c:v>27.281534269491029</c:v>
                </c:pt>
                <c:pt idx="18">
                  <c:v>23.67276173103193</c:v>
                </c:pt>
                <c:pt idx="19">
                  <c:v>33.087177041290019</c:v>
                </c:pt>
                <c:pt idx="20">
                  <c:v>37.095689150843853</c:v>
                </c:pt>
                <c:pt idx="21">
                  <c:v>34.872467418394727</c:v>
                </c:pt>
                <c:pt idx="22">
                  <c:v>38.961485162720514</c:v>
                </c:pt>
                <c:pt idx="23">
                  <c:v>19.348838112525026</c:v>
                </c:pt>
                <c:pt idx="24">
                  <c:v>37.404707271744066</c:v>
                </c:pt>
                <c:pt idx="25">
                  <c:v>29.639458390461044</c:v>
                </c:pt>
                <c:pt idx="26">
                  <c:v>35.609443664169099</c:v>
                </c:pt>
                <c:pt idx="27">
                  <c:v>27.731153230842633</c:v>
                </c:pt>
                <c:pt idx="28">
                  <c:v>37.76088980899096</c:v>
                </c:pt>
                <c:pt idx="29">
                  <c:v>28.276966682625019</c:v>
                </c:pt>
                <c:pt idx="30">
                  <c:v>20.471321535571484</c:v>
                </c:pt>
                <c:pt idx="31">
                  <c:v>32.889318912545335</c:v>
                </c:pt>
                <c:pt idx="32">
                  <c:v>26.141411071445283</c:v>
                </c:pt>
                <c:pt idx="33">
                  <c:v>18.54975463243164</c:v>
                </c:pt>
                <c:pt idx="34">
                  <c:v>28.035866322736037</c:v>
                </c:pt>
                <c:pt idx="35">
                  <c:v>34.718391966808262</c:v>
                </c:pt>
                <c:pt idx="36">
                  <c:v>32.970226512659771</c:v>
                </c:pt>
                <c:pt idx="37">
                  <c:v>32.895400956413532</c:v>
                </c:pt>
                <c:pt idx="38">
                  <c:v>27.341248589871729</c:v>
                </c:pt>
                <c:pt idx="39">
                  <c:v>27.030112047461575</c:v>
                </c:pt>
                <c:pt idx="40">
                  <c:v>33.314732528842356</c:v>
                </c:pt>
                <c:pt idx="41">
                  <c:v>31.619167978731038</c:v>
                </c:pt>
                <c:pt idx="42">
                  <c:v>30.250135336413965</c:v>
                </c:pt>
                <c:pt idx="43">
                  <c:v>29.409813671163267</c:v>
                </c:pt>
                <c:pt idx="44">
                  <c:v>33.567551712284548</c:v>
                </c:pt>
                <c:pt idx="45">
                  <c:v>28.298883020659929</c:v>
                </c:pt>
                <c:pt idx="46">
                  <c:v>35.372633374155342</c:v>
                </c:pt>
                <c:pt idx="47">
                  <c:v>30.247669894260184</c:v>
                </c:pt>
                <c:pt idx="48">
                  <c:v>34.183933117266378</c:v>
                </c:pt>
                <c:pt idx="49">
                  <c:v>33.102983505698496</c:v>
                </c:pt>
                <c:pt idx="50">
                  <c:v>33.600905486449427</c:v>
                </c:pt>
                <c:pt idx="51">
                  <c:v>39.138643829039125</c:v>
                </c:pt>
                <c:pt idx="52">
                  <c:v>30.038004259852059</c:v>
                </c:pt>
                <c:pt idx="53">
                  <c:v>25.676358333238277</c:v>
                </c:pt>
                <c:pt idx="54">
                  <c:v>31.963215181518599</c:v>
                </c:pt>
                <c:pt idx="55">
                  <c:v>31.250405331972942</c:v>
                </c:pt>
                <c:pt idx="56">
                  <c:v>34.600146842653054</c:v>
                </c:pt>
                <c:pt idx="57">
                  <c:v>30.912454098716744</c:v>
                </c:pt>
                <c:pt idx="58">
                  <c:v>29.848131754885614</c:v>
                </c:pt>
                <c:pt idx="59">
                  <c:v>22.678880730749974</c:v>
                </c:pt>
                <c:pt idx="60">
                  <c:v>25.295068615191962</c:v>
                </c:pt>
                <c:pt idx="61">
                  <c:v>34.040806503191661</c:v>
                </c:pt>
                <c:pt idx="62">
                  <c:v>29.405457385762439</c:v>
                </c:pt>
                <c:pt idx="63">
                  <c:v>32.231330398402527</c:v>
                </c:pt>
                <c:pt idx="64">
                  <c:v>39.645423452973873</c:v>
                </c:pt>
                <c:pt idx="65">
                  <c:v>24.042904140206979</c:v>
                </c:pt>
                <c:pt idx="66">
                  <c:v>33.834040356228158</c:v>
                </c:pt>
                <c:pt idx="67">
                  <c:v>35.333354463334736</c:v>
                </c:pt>
                <c:pt idx="68">
                  <c:v>34.515387366545482</c:v>
                </c:pt>
                <c:pt idx="69">
                  <c:v>32.780602369883319</c:v>
                </c:pt>
                <c:pt idx="70">
                  <c:v>36.678037856317268</c:v>
                </c:pt>
                <c:pt idx="71">
                  <c:v>33.630317783611311</c:v>
                </c:pt>
                <c:pt idx="72">
                  <c:v>36.866944789938621</c:v>
                </c:pt>
                <c:pt idx="73">
                  <c:v>29.740298646148453</c:v>
                </c:pt>
                <c:pt idx="74">
                  <c:v>37.299368036918594</c:v>
                </c:pt>
                <c:pt idx="75">
                  <c:v>30.387070395953071</c:v>
                </c:pt>
                <c:pt idx="76">
                  <c:v>22.808994844934691</c:v>
                </c:pt>
                <c:pt idx="77">
                  <c:v>38.558526174791794</c:v>
                </c:pt>
                <c:pt idx="78">
                  <c:v>25.216191499205614</c:v>
                </c:pt>
                <c:pt idx="79">
                  <c:v>37.012951653085139</c:v>
                </c:pt>
                <c:pt idx="80">
                  <c:v>25.994795414666768</c:v>
                </c:pt>
                <c:pt idx="81">
                  <c:v>48.213349900140649</c:v>
                </c:pt>
                <c:pt idx="82">
                  <c:v>40.672324969254966</c:v>
                </c:pt>
                <c:pt idx="83">
                  <c:v>41.47385702522223</c:v>
                </c:pt>
                <c:pt idx="84">
                  <c:v>32.366032355950566</c:v>
                </c:pt>
                <c:pt idx="85">
                  <c:v>46.646727733412106</c:v>
                </c:pt>
                <c:pt idx="86">
                  <c:v>24.435155535949928</c:v>
                </c:pt>
                <c:pt idx="87">
                  <c:v>21.940900535431119</c:v>
                </c:pt>
                <c:pt idx="88">
                  <c:v>29.76628013102394</c:v>
                </c:pt>
                <c:pt idx="89">
                  <c:v>25.932041554970056</c:v>
                </c:pt>
                <c:pt idx="90">
                  <c:v>31.465709806855539</c:v>
                </c:pt>
                <c:pt idx="91">
                  <c:v>22.745398044038698</c:v>
                </c:pt>
                <c:pt idx="92">
                  <c:v>39.095769207481098</c:v>
                </c:pt>
                <c:pt idx="93">
                  <c:v>24.890009567344379</c:v>
                </c:pt>
                <c:pt idx="94">
                  <c:v>39.656528589465459</c:v>
                </c:pt>
                <c:pt idx="95">
                  <c:v>33.361975068974687</c:v>
                </c:pt>
                <c:pt idx="96">
                  <c:v>43.503789125371512</c:v>
                </c:pt>
                <c:pt idx="97">
                  <c:v>37.088107074733884</c:v>
                </c:pt>
                <c:pt idx="98">
                  <c:v>34.827224403109597</c:v>
                </c:pt>
                <c:pt idx="99">
                  <c:v>25.385314739191248</c:v>
                </c:pt>
                <c:pt idx="100">
                  <c:v>23.083999434812583</c:v>
                </c:pt>
                <c:pt idx="101">
                  <c:v>27.189466472812072</c:v>
                </c:pt>
                <c:pt idx="102">
                  <c:v>25.606653383917443</c:v>
                </c:pt>
                <c:pt idx="103">
                  <c:v>28.578123438755465</c:v>
                </c:pt>
                <c:pt idx="104">
                  <c:v>36.676340653740588</c:v>
                </c:pt>
                <c:pt idx="105">
                  <c:v>36.294977324857335</c:v>
                </c:pt>
                <c:pt idx="106">
                  <c:v>26.102416192910962</c:v>
                </c:pt>
                <c:pt idx="107">
                  <c:v>30.440776286536057</c:v>
                </c:pt>
                <c:pt idx="108">
                  <c:v>34.465575440820324</c:v>
                </c:pt>
                <c:pt idx="109">
                  <c:v>29.025541886565772</c:v>
                </c:pt>
                <c:pt idx="110">
                  <c:v>45.938526076263464</c:v>
                </c:pt>
                <c:pt idx="111">
                  <c:v>23.351898844775011</c:v>
                </c:pt>
                <c:pt idx="112">
                  <c:v>26.764693755161932</c:v>
                </c:pt>
                <c:pt idx="113">
                  <c:v>34.559786230990547</c:v>
                </c:pt>
                <c:pt idx="114">
                  <c:v>26.431379898280845</c:v>
                </c:pt>
                <c:pt idx="115">
                  <c:v>30.345268162627232</c:v>
                </c:pt>
                <c:pt idx="116">
                  <c:v>42.251320575071034</c:v>
                </c:pt>
                <c:pt idx="117">
                  <c:v>21.67248388855187</c:v>
                </c:pt>
                <c:pt idx="118">
                  <c:v>35.911909455724654</c:v>
                </c:pt>
                <c:pt idx="119">
                  <c:v>25.213843377114483</c:v>
                </c:pt>
                <c:pt idx="120">
                  <c:v>23.241726849299543</c:v>
                </c:pt>
                <c:pt idx="121">
                  <c:v>29.439140076742891</c:v>
                </c:pt>
                <c:pt idx="122">
                  <c:v>44.727976251469578</c:v>
                </c:pt>
                <c:pt idx="123">
                  <c:v>30.652259824893015</c:v>
                </c:pt>
                <c:pt idx="124" formatCode="General">
                  <c:v>25.145405957367132</c:v>
                </c:pt>
              </c:numCache>
            </c:numRef>
          </c:val>
          <c:smooth val="0"/>
          <c:extLst>
            <c:ext xmlns:c16="http://schemas.microsoft.com/office/drawing/2014/chart" uri="{C3380CC4-5D6E-409C-BE32-E72D297353CC}">
              <c16:uniqueId val="{00000001-622A-174B-B439-A3FDAB03AD46}"/>
            </c:ext>
          </c:extLst>
        </c:ser>
        <c:dLbls>
          <c:showLegendKey val="0"/>
          <c:showVal val="0"/>
          <c:showCatName val="0"/>
          <c:showSerName val="0"/>
          <c:showPercent val="0"/>
          <c:showBubbleSize val="0"/>
        </c:dLbls>
        <c:smooth val="0"/>
        <c:axId val="76255087"/>
        <c:axId val="76290927"/>
      </c:lineChart>
      <c:catAx>
        <c:axId val="7625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0927"/>
        <c:crosses val="autoZero"/>
        <c:auto val="1"/>
        <c:lblAlgn val="ctr"/>
        <c:lblOffset val="100"/>
        <c:noMultiLvlLbl val="0"/>
      </c:catAx>
      <c:valAx>
        <c:axId val="7629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Precip (inches)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5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'Air Temp'!$U$4</c:f>
              <c:strCache>
                <c:ptCount val="1"/>
                <c:pt idx="0">
                  <c:v>Megs' # (GSL Policy Update) - Not Area Weighted</c:v>
                </c:pt>
              </c:strCache>
            </c:strRef>
          </c:tx>
          <c:spPr>
            <a:ln w="28575" cap="rnd">
              <a:solidFill>
                <a:srgbClr val="7F2600"/>
              </a:solidFill>
              <a:round/>
            </a:ln>
            <a:effectLst/>
          </c:spPr>
          <c:marker>
            <c:symbol val="none"/>
          </c:marker>
          <c:cat>
            <c:numRef>
              <c:f>'Air Temp'!$A$5:$A$129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'Air Temp'!$Y$5:$Y$129</c:f>
              <c:numCache>
                <c:formatCode>0.00</c:formatCode>
                <c:ptCount val="125"/>
                <c:pt idx="0">
                  <c:v>43.5143742681717</c:v>
                </c:pt>
                <c:pt idx="1">
                  <c:v>42.595681410644701</c:v>
                </c:pt>
                <c:pt idx="2">
                  <c:v>40.681129611865899</c:v>
                </c:pt>
                <c:pt idx="3">
                  <c:v>41.947522642283602</c:v>
                </c:pt>
                <c:pt idx="4">
                  <c:v>41.783446631843098</c:v>
                </c:pt>
                <c:pt idx="5">
                  <c:v>39.278575610436903</c:v>
                </c:pt>
                <c:pt idx="6">
                  <c:v>41.114759471845097</c:v>
                </c:pt>
                <c:pt idx="7">
                  <c:v>40.280367094285801</c:v>
                </c:pt>
                <c:pt idx="8">
                  <c:v>39.4612275495831</c:v>
                </c:pt>
                <c:pt idx="9">
                  <c:v>41.742125443999299</c:v>
                </c:pt>
                <c:pt idx="10">
                  <c:v>41.542456385276999</c:v>
                </c:pt>
                <c:pt idx="11">
                  <c:v>38.522446908641903</c:v>
                </c:pt>
                <c:pt idx="12">
                  <c:v>39.381826724347299</c:v>
                </c:pt>
                <c:pt idx="13">
                  <c:v>41.834529530337299</c:v>
                </c:pt>
                <c:pt idx="14">
                  <c:v>41.362978102567602</c:v>
                </c:pt>
                <c:pt idx="15">
                  <c:v>41.381943909120601</c:v>
                </c:pt>
                <c:pt idx="16">
                  <c:v>37.262804878291398</c:v>
                </c:pt>
                <c:pt idx="17">
                  <c:v>41.768205845352099</c:v>
                </c:pt>
                <c:pt idx="18">
                  <c:v>42.785258246830097</c:v>
                </c:pt>
                <c:pt idx="19">
                  <c:v>39.986855089228897</c:v>
                </c:pt>
                <c:pt idx="20">
                  <c:v>41.2901199026632</c:v>
                </c:pt>
                <c:pt idx="21">
                  <c:v>41.114969405443198</c:v>
                </c:pt>
                <c:pt idx="22">
                  <c:v>39.980695481092297</c:v>
                </c:pt>
                <c:pt idx="23">
                  <c:v>40.895411682626303</c:v>
                </c:pt>
                <c:pt idx="24">
                  <c:v>41.516474546858198</c:v>
                </c:pt>
                <c:pt idx="25">
                  <c:v>42.634533313094302</c:v>
                </c:pt>
                <c:pt idx="26">
                  <c:v>41.823538018698898</c:v>
                </c:pt>
                <c:pt idx="27">
                  <c:v>41.705956915045903</c:v>
                </c:pt>
                <c:pt idx="28">
                  <c:v>39.787715120792697</c:v>
                </c:pt>
                <c:pt idx="29">
                  <c:v>42.238355478309202</c:v>
                </c:pt>
                <c:pt idx="30">
                  <c:v>41.067174632210303</c:v>
                </c:pt>
                <c:pt idx="31">
                  <c:v>40.171974001949899</c:v>
                </c:pt>
                <c:pt idx="32">
                  <c:v>40.0027054984674</c:v>
                </c:pt>
                <c:pt idx="33">
                  <c:v>46.262527810333502</c:v>
                </c:pt>
                <c:pt idx="34">
                  <c:v>42.830881683563298</c:v>
                </c:pt>
                <c:pt idx="35">
                  <c:v>41.835495481940697</c:v>
                </c:pt>
                <c:pt idx="36">
                  <c:v>40.398004612832899</c:v>
                </c:pt>
                <c:pt idx="37">
                  <c:v>42.442442518193602</c:v>
                </c:pt>
                <c:pt idx="38">
                  <c:v>40.142837197057297</c:v>
                </c:pt>
                <c:pt idx="39">
                  <c:v>43.592544327121601</c:v>
                </c:pt>
                <c:pt idx="40">
                  <c:v>40.773476833833897</c:v>
                </c:pt>
                <c:pt idx="41">
                  <c:v>39.629751471060302</c:v>
                </c:pt>
                <c:pt idx="42">
                  <c:v>42.084667239128201</c:v>
                </c:pt>
                <c:pt idx="43">
                  <c:v>40.381015914066097</c:v>
                </c:pt>
                <c:pt idx="44">
                  <c:v>40.472823157567703</c:v>
                </c:pt>
                <c:pt idx="45">
                  <c:v>41.524204889306603</c:v>
                </c:pt>
                <c:pt idx="46">
                  <c:v>41.115341719058897</c:v>
                </c:pt>
                <c:pt idx="47">
                  <c:v>40.407758635829701</c:v>
                </c:pt>
                <c:pt idx="48">
                  <c:v>40.033553955275103</c:v>
                </c:pt>
                <c:pt idx="49">
                  <c:v>40.007368193629702</c:v>
                </c:pt>
                <c:pt idx="50">
                  <c:v>41.850989782606099</c:v>
                </c:pt>
                <c:pt idx="51">
                  <c:v>40.274760021203903</c:v>
                </c:pt>
                <c:pt idx="52">
                  <c:v>41.8279684295794</c:v>
                </c:pt>
                <c:pt idx="53">
                  <c:v>42.773441353983799</c:v>
                </c:pt>
                <c:pt idx="54">
                  <c:v>39.6919230912996</c:v>
                </c:pt>
                <c:pt idx="55">
                  <c:v>41.800090242706602</c:v>
                </c:pt>
                <c:pt idx="56">
                  <c:v>40.790659798552902</c:v>
                </c:pt>
                <c:pt idx="57">
                  <c:v>41.733073802287798</c:v>
                </c:pt>
                <c:pt idx="58">
                  <c:v>42.459960486858002</c:v>
                </c:pt>
                <c:pt idx="59">
                  <c:v>41.459601134726903</c:v>
                </c:pt>
                <c:pt idx="60">
                  <c:v>42.169417847894003</c:v>
                </c:pt>
                <c:pt idx="61">
                  <c:v>40.201838092675402</c:v>
                </c:pt>
                <c:pt idx="62">
                  <c:v>42.262743903148198</c:v>
                </c:pt>
                <c:pt idx="63">
                  <c:v>39.090662060428301</c:v>
                </c:pt>
                <c:pt idx="64">
                  <c:v>39.3828968964037</c:v>
                </c:pt>
                <c:pt idx="65">
                  <c:v>42.103732685508298</c:v>
                </c:pt>
                <c:pt idx="66">
                  <c:v>40.9021033298378</c:v>
                </c:pt>
                <c:pt idx="67">
                  <c:v>40.136326539804003</c:v>
                </c:pt>
                <c:pt idx="68">
                  <c:v>40.913765501080803</c:v>
                </c:pt>
                <c:pt idx="69">
                  <c:v>40.111254534354998</c:v>
                </c:pt>
                <c:pt idx="70">
                  <c:v>40.004903489125098</c:v>
                </c:pt>
                <c:pt idx="71">
                  <c:v>40.443082242835501</c:v>
                </c:pt>
                <c:pt idx="72">
                  <c:v>39.234348271783198</c:v>
                </c:pt>
                <c:pt idx="73">
                  <c:v>41.237529662116103</c:v>
                </c:pt>
                <c:pt idx="74">
                  <c:v>38.912597747450697</c:v>
                </c:pt>
                <c:pt idx="75">
                  <c:v>40.302510938620102</c:v>
                </c:pt>
                <c:pt idx="76">
                  <c:v>41.138730563642198</c:v>
                </c:pt>
                <c:pt idx="77">
                  <c:v>41.873718117653503</c:v>
                </c:pt>
                <c:pt idx="78">
                  <c:v>39.959077785433102</c:v>
                </c:pt>
                <c:pt idx="79">
                  <c:v>41.130443514661799</c:v>
                </c:pt>
                <c:pt idx="80">
                  <c:v>43.614876489029299</c:v>
                </c:pt>
                <c:pt idx="81">
                  <c:v>40.662131651409801</c:v>
                </c:pt>
                <c:pt idx="82">
                  <c:v>40.419977635483598</c:v>
                </c:pt>
                <c:pt idx="83">
                  <c:v>39.969871740882397</c:v>
                </c:pt>
                <c:pt idx="84">
                  <c:v>40.168973755685101</c:v>
                </c:pt>
                <c:pt idx="85">
                  <c:v>42.404446479783999</c:v>
                </c:pt>
                <c:pt idx="86">
                  <c:v>41.949119641762302</c:v>
                </c:pt>
                <c:pt idx="87">
                  <c:v>42.4722873532072</c:v>
                </c:pt>
                <c:pt idx="88">
                  <c:v>42.2939858232536</c:v>
                </c:pt>
                <c:pt idx="89">
                  <c:v>42.845165364471399</c:v>
                </c:pt>
                <c:pt idx="90">
                  <c:v>40.644305997335799</c:v>
                </c:pt>
                <c:pt idx="91">
                  <c:v>43.512751891972997</c:v>
                </c:pt>
                <c:pt idx="92">
                  <c:v>39.759036229302403</c:v>
                </c:pt>
                <c:pt idx="93">
                  <c:v>43.092290159053597</c:v>
                </c:pt>
                <c:pt idx="94">
                  <c:v>41.089006358548701</c:v>
                </c:pt>
                <c:pt idx="95">
                  <c:v>42.868082386723202</c:v>
                </c:pt>
                <c:pt idx="96">
                  <c:v>41.681834044571197</c:v>
                </c:pt>
                <c:pt idx="97">
                  <c:v>41.563995517531097</c:v>
                </c:pt>
                <c:pt idx="98">
                  <c:v>41.425074113895597</c:v>
                </c:pt>
                <c:pt idx="99">
                  <c:v>44.7338304823692</c:v>
                </c:pt>
                <c:pt idx="100">
                  <c:v>42.813169234966601</c:v>
                </c:pt>
                <c:pt idx="101">
                  <c:v>42.262123371551802</c:v>
                </c:pt>
                <c:pt idx="102">
                  <c:v>43.416565019036398</c:v>
                </c:pt>
                <c:pt idx="103">
                  <c:v>42.749908403154002</c:v>
                </c:pt>
                <c:pt idx="104">
                  <c:v>43.131477389945601</c:v>
                </c:pt>
                <c:pt idx="105">
                  <c:v>43.2073444861404</c:v>
                </c:pt>
                <c:pt idx="106">
                  <c:v>43.8884205996643</c:v>
                </c:pt>
                <c:pt idx="107">
                  <c:v>41.371580741008103</c:v>
                </c:pt>
                <c:pt idx="108">
                  <c:v>43.187725220995503</c:v>
                </c:pt>
                <c:pt idx="109">
                  <c:v>41.5663491564137</c:v>
                </c:pt>
                <c:pt idx="110">
                  <c:v>41.8164932031194</c:v>
                </c:pt>
                <c:pt idx="111">
                  <c:v>44.361550385086602</c:v>
                </c:pt>
                <c:pt idx="112">
                  <c:v>43.071876642586297</c:v>
                </c:pt>
                <c:pt idx="113">
                  <c:v>43.038975950044403</c:v>
                </c:pt>
                <c:pt idx="114">
                  <c:v>44.917977835400002</c:v>
                </c:pt>
                <c:pt idx="115">
                  <c:v>44.072341356199999</c:v>
                </c:pt>
                <c:pt idx="116">
                  <c:v>44.31392349395</c:v>
                </c:pt>
                <c:pt idx="117">
                  <c:v>45.094149497750003</c:v>
                </c:pt>
                <c:pt idx="118">
                  <c:v>41.921229999999994</c:v>
                </c:pt>
                <c:pt idx="119">
                  <c:v>43.294779999999996</c:v>
                </c:pt>
                <c:pt idx="120">
                  <c:v>44.027340000000002</c:v>
                </c:pt>
                <c:pt idx="121">
                  <c:v>43.935769999999998</c:v>
                </c:pt>
                <c:pt idx="122">
                  <c:v>41.554949999999998</c:v>
                </c:pt>
              </c:numCache>
            </c:numRef>
          </c:val>
          <c:smooth val="0"/>
          <c:extLst>
            <c:ext xmlns:c16="http://schemas.microsoft.com/office/drawing/2014/chart" uri="{C3380CC4-5D6E-409C-BE32-E72D297353CC}">
              <c16:uniqueId val="{00000001-E7CF-7648-A256-22867D54A552}"/>
            </c:ext>
          </c:extLst>
        </c:ser>
        <c:ser>
          <c:idx val="0"/>
          <c:order val="1"/>
          <c:tx>
            <c:v>Baylee Average T - Area Weighted</c:v>
          </c:tx>
          <c:spPr>
            <a:ln w="28575" cap="rnd">
              <a:solidFill>
                <a:srgbClr val="FF9481"/>
              </a:solidFill>
              <a:round/>
            </a:ln>
            <a:effectLst/>
          </c:spPr>
          <c:marker>
            <c:symbol val="none"/>
          </c:marker>
          <c:cat>
            <c:numRef>
              <c:f>'Air Temp'!$A$5:$A$129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'Air Temp'!$X$5:$X$129</c:f>
              <c:numCache>
                <c:formatCode>General</c:formatCode>
                <c:ptCount val="125"/>
                <c:pt idx="0">
                  <c:v>40.432637236032065</c:v>
                </c:pt>
                <c:pt idx="1">
                  <c:v>39.916464518647494</c:v>
                </c:pt>
                <c:pt idx="2">
                  <c:v>37.586760825713519</c:v>
                </c:pt>
                <c:pt idx="3">
                  <c:v>38.953920624075771</c:v>
                </c:pt>
                <c:pt idx="4">
                  <c:v>40.302405345328481</c:v>
                </c:pt>
                <c:pt idx="5">
                  <c:v>37.467397706534314</c:v>
                </c:pt>
                <c:pt idx="6">
                  <c:v>39.269311023144468</c:v>
                </c:pt>
                <c:pt idx="7">
                  <c:v>38.626379540408294</c:v>
                </c:pt>
                <c:pt idx="8">
                  <c:v>38.044248237457253</c:v>
                </c:pt>
                <c:pt idx="9">
                  <c:v>39.760945383572654</c:v>
                </c:pt>
                <c:pt idx="10">
                  <c:v>39.751006696346536</c:v>
                </c:pt>
                <c:pt idx="11">
                  <c:v>36.635590588237669</c:v>
                </c:pt>
                <c:pt idx="12">
                  <c:v>37.827324488210749</c:v>
                </c:pt>
                <c:pt idx="13">
                  <c:v>39.754423677728695</c:v>
                </c:pt>
                <c:pt idx="14">
                  <c:v>39.370702877617241</c:v>
                </c:pt>
                <c:pt idx="15">
                  <c:v>39.428253189436376</c:v>
                </c:pt>
                <c:pt idx="16">
                  <c:v>34.874283571050213</c:v>
                </c:pt>
                <c:pt idx="17">
                  <c:v>40.31386422507228</c:v>
                </c:pt>
                <c:pt idx="18">
                  <c:v>40.789645808887705</c:v>
                </c:pt>
                <c:pt idx="19">
                  <c:v>37.762510467740732</c:v>
                </c:pt>
                <c:pt idx="20">
                  <c:v>39.305643221151669</c:v>
                </c:pt>
                <c:pt idx="21">
                  <c:v>39.012198919385725</c:v>
                </c:pt>
                <c:pt idx="22">
                  <c:v>38.085003983431676</c:v>
                </c:pt>
                <c:pt idx="23">
                  <c:v>38.496573822367907</c:v>
                </c:pt>
                <c:pt idx="24">
                  <c:v>39.245266511859668</c:v>
                </c:pt>
                <c:pt idx="25">
                  <c:v>40.540336552172526</c:v>
                </c:pt>
                <c:pt idx="26">
                  <c:v>39.628027688880572</c:v>
                </c:pt>
                <c:pt idx="27">
                  <c:v>39.669157118059019</c:v>
                </c:pt>
                <c:pt idx="28">
                  <c:v>37.417323850666634</c:v>
                </c:pt>
                <c:pt idx="29">
                  <c:v>39.984011509495303</c:v>
                </c:pt>
                <c:pt idx="30">
                  <c:v>38.53497640839376</c:v>
                </c:pt>
                <c:pt idx="31">
                  <c:v>37.556033502963423</c:v>
                </c:pt>
                <c:pt idx="32">
                  <c:v>37.598223922748069</c:v>
                </c:pt>
                <c:pt idx="33">
                  <c:v>43.922926325890813</c:v>
                </c:pt>
                <c:pt idx="34">
                  <c:v>40.472767230615112</c:v>
                </c:pt>
                <c:pt idx="35">
                  <c:v>39.763604642235862</c:v>
                </c:pt>
                <c:pt idx="36">
                  <c:v>38.297027034444184</c:v>
                </c:pt>
                <c:pt idx="37">
                  <c:v>40.864352825002648</c:v>
                </c:pt>
                <c:pt idx="38">
                  <c:v>38.866808694420257</c:v>
                </c:pt>
                <c:pt idx="39">
                  <c:v>42.322179967623434</c:v>
                </c:pt>
                <c:pt idx="40">
                  <c:v>39.413128255826877</c:v>
                </c:pt>
                <c:pt idx="41">
                  <c:v>37.80776892019739</c:v>
                </c:pt>
                <c:pt idx="42">
                  <c:v>40.376924079330735</c:v>
                </c:pt>
                <c:pt idx="43">
                  <c:v>38.3719273137973</c:v>
                </c:pt>
                <c:pt idx="44">
                  <c:v>38.738826438056364</c:v>
                </c:pt>
                <c:pt idx="45">
                  <c:v>39.574897730429953</c:v>
                </c:pt>
                <c:pt idx="46">
                  <c:v>39.460966462636549</c:v>
                </c:pt>
                <c:pt idx="47">
                  <c:v>38.667890279230562</c:v>
                </c:pt>
                <c:pt idx="48">
                  <c:v>37.812771189233985</c:v>
                </c:pt>
                <c:pt idx="49">
                  <c:v>38.671457630661159</c:v>
                </c:pt>
                <c:pt idx="50">
                  <c:v>40.477637700042237</c:v>
                </c:pt>
                <c:pt idx="51">
                  <c:v>38.156927351625598</c:v>
                </c:pt>
                <c:pt idx="52">
                  <c:v>40.476771088892299</c:v>
                </c:pt>
                <c:pt idx="53">
                  <c:v>41.132242697042685</c:v>
                </c:pt>
                <c:pt idx="54">
                  <c:v>37.931186111766074</c:v>
                </c:pt>
                <c:pt idx="55">
                  <c:v>39.771103293464947</c:v>
                </c:pt>
                <c:pt idx="56">
                  <c:v>38.787313198344236</c:v>
                </c:pt>
                <c:pt idx="57">
                  <c:v>39.381475479449932</c:v>
                </c:pt>
                <c:pt idx="58">
                  <c:v>40.562026952337128</c:v>
                </c:pt>
                <c:pt idx="59">
                  <c:v>39.868914106942874</c:v>
                </c:pt>
                <c:pt idx="60">
                  <c:v>40.529868556164004</c:v>
                </c:pt>
                <c:pt idx="61">
                  <c:v>38.321311398709256</c:v>
                </c:pt>
                <c:pt idx="62">
                  <c:v>40.854167161240852</c:v>
                </c:pt>
                <c:pt idx="63">
                  <c:v>37.713161469103177</c:v>
                </c:pt>
                <c:pt idx="64">
                  <c:v>38.139370349767319</c:v>
                </c:pt>
                <c:pt idx="65">
                  <c:v>40.030511441387361</c:v>
                </c:pt>
                <c:pt idx="66">
                  <c:v>39.46639696087513</c:v>
                </c:pt>
                <c:pt idx="67">
                  <c:v>38.597643338070327</c:v>
                </c:pt>
                <c:pt idx="68">
                  <c:v>39.383276349152453</c:v>
                </c:pt>
                <c:pt idx="69">
                  <c:v>38.915353771192187</c:v>
                </c:pt>
                <c:pt idx="70">
                  <c:v>38.429899362973103</c:v>
                </c:pt>
                <c:pt idx="71">
                  <c:v>38.806687040516891</c:v>
                </c:pt>
                <c:pt idx="72">
                  <c:v>36.979288950054801</c:v>
                </c:pt>
                <c:pt idx="73">
                  <c:v>39.256360454959619</c:v>
                </c:pt>
                <c:pt idx="74">
                  <c:v>37.24704625329349</c:v>
                </c:pt>
                <c:pt idx="75">
                  <c:v>38.682476919151419</c:v>
                </c:pt>
                <c:pt idx="76">
                  <c:v>39.527722673913061</c:v>
                </c:pt>
                <c:pt idx="77">
                  <c:v>40.258706616618007</c:v>
                </c:pt>
                <c:pt idx="78">
                  <c:v>38.321753503870873</c:v>
                </c:pt>
                <c:pt idx="79">
                  <c:v>39.546084565470586</c:v>
                </c:pt>
                <c:pt idx="80">
                  <c:v>42.121092859336343</c:v>
                </c:pt>
                <c:pt idx="81">
                  <c:v>38.905145258521834</c:v>
                </c:pt>
                <c:pt idx="82">
                  <c:v>38.790875945258072</c:v>
                </c:pt>
                <c:pt idx="83">
                  <c:v>37.918302789933975</c:v>
                </c:pt>
                <c:pt idx="84">
                  <c:v>37.484598372161273</c:v>
                </c:pt>
                <c:pt idx="85">
                  <c:v>39.715497413805409</c:v>
                </c:pt>
                <c:pt idx="86">
                  <c:v>39.427920467851273</c:v>
                </c:pt>
                <c:pt idx="87">
                  <c:v>39.795179989203817</c:v>
                </c:pt>
                <c:pt idx="88">
                  <c:v>39.770896106882454</c:v>
                </c:pt>
                <c:pt idx="89">
                  <c:v>40.359477836400849</c:v>
                </c:pt>
                <c:pt idx="90">
                  <c:v>38.408876846201984</c:v>
                </c:pt>
                <c:pt idx="91">
                  <c:v>41.059676662556726</c:v>
                </c:pt>
                <c:pt idx="92">
                  <c:v>37.523127955692061</c:v>
                </c:pt>
                <c:pt idx="93">
                  <c:v>41.159080211018626</c:v>
                </c:pt>
                <c:pt idx="94">
                  <c:v>38.996438386825709</c:v>
                </c:pt>
                <c:pt idx="95">
                  <c:v>40.484172125503072</c:v>
                </c:pt>
                <c:pt idx="96">
                  <c:v>39.457240030002254</c:v>
                </c:pt>
                <c:pt idx="97">
                  <c:v>39.62499982421059</c:v>
                </c:pt>
                <c:pt idx="98">
                  <c:v>39.384285519129165</c:v>
                </c:pt>
                <c:pt idx="99">
                  <c:v>42.398191121300229</c:v>
                </c:pt>
                <c:pt idx="100">
                  <c:v>40.490232429513313</c:v>
                </c:pt>
                <c:pt idx="101">
                  <c:v>40.050214101512125</c:v>
                </c:pt>
                <c:pt idx="102">
                  <c:v>41.357136946927156</c:v>
                </c:pt>
                <c:pt idx="103">
                  <c:v>40.467454860366004</c:v>
                </c:pt>
                <c:pt idx="104">
                  <c:v>40.661833748399012</c:v>
                </c:pt>
                <c:pt idx="105">
                  <c:v>40.868714946233872</c:v>
                </c:pt>
                <c:pt idx="106">
                  <c:v>41.746354160300854</c:v>
                </c:pt>
                <c:pt idx="107">
                  <c:v>38.713525624014302</c:v>
                </c:pt>
                <c:pt idx="108">
                  <c:v>40.584550394036583</c:v>
                </c:pt>
                <c:pt idx="109">
                  <c:v>38.881368129138068</c:v>
                </c:pt>
                <c:pt idx="110">
                  <c:v>39.274814473362902</c:v>
                </c:pt>
                <c:pt idx="111">
                  <c:v>41.803563136964556</c:v>
                </c:pt>
                <c:pt idx="112">
                  <c:v>40.762310018189169</c:v>
                </c:pt>
                <c:pt idx="113">
                  <c:v>40.496116732075677</c:v>
                </c:pt>
                <c:pt idx="114">
                  <c:v>42.929054553780425</c:v>
                </c:pt>
                <c:pt idx="115">
                  <c:v>41.578377378668932</c:v>
                </c:pt>
                <c:pt idx="116">
                  <c:v>41.801643748213678</c:v>
                </c:pt>
                <c:pt idx="117">
                  <c:v>42.600452504960245</c:v>
                </c:pt>
                <c:pt idx="118">
                  <c:v>39.480311913241351</c:v>
                </c:pt>
                <c:pt idx="119">
                  <c:v>40.210902630254026</c:v>
                </c:pt>
                <c:pt idx="120">
                  <c:v>42.016251570244854</c:v>
                </c:pt>
                <c:pt idx="121">
                  <c:v>41.57321454037173</c:v>
                </c:pt>
                <c:pt idx="122">
                  <c:v>38.54696507979817</c:v>
                </c:pt>
                <c:pt idx="123">
                  <c:v>41.413917518304878</c:v>
                </c:pt>
                <c:pt idx="124">
                  <c:v>41.677325371696178</c:v>
                </c:pt>
              </c:numCache>
            </c:numRef>
          </c:val>
          <c:smooth val="0"/>
          <c:extLst>
            <c:ext xmlns:c16="http://schemas.microsoft.com/office/drawing/2014/chart" uri="{C3380CC4-5D6E-409C-BE32-E72D297353CC}">
              <c16:uniqueId val="{00000000-E7CF-7648-A256-22867D54A552}"/>
            </c:ext>
          </c:extLst>
        </c:ser>
        <c:dLbls>
          <c:showLegendKey val="0"/>
          <c:showVal val="0"/>
          <c:showCatName val="0"/>
          <c:showSerName val="0"/>
          <c:showPercent val="0"/>
          <c:showBubbleSize val="0"/>
        </c:dLbls>
        <c:smooth val="0"/>
        <c:axId val="76255087"/>
        <c:axId val="76290927"/>
      </c:lineChart>
      <c:catAx>
        <c:axId val="7625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0927"/>
        <c:crosses val="autoZero"/>
        <c:auto val="1"/>
        <c:lblAlgn val="ctr"/>
        <c:lblOffset val="100"/>
        <c:noMultiLvlLbl val="0"/>
      </c:catAx>
      <c:valAx>
        <c:axId val="76290927"/>
        <c:scaling>
          <c:orientation val="minMax"/>
          <c:min val="3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Air</a:t>
                </a:r>
                <a:r>
                  <a:rPr lang="en-US" baseline="0"/>
                  <a:t> Temp (F)</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5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'Headwater Streamflow'!$W$4</c:f>
              <c:strCache>
                <c:ptCount val="1"/>
                <c:pt idx="0">
                  <c:v>Megs' # (GSL Policy Update)</c:v>
                </c:pt>
              </c:strCache>
            </c:strRef>
          </c:tx>
          <c:spPr>
            <a:ln w="28575" cap="rnd">
              <a:solidFill>
                <a:schemeClr val="accent2"/>
              </a:solidFill>
              <a:round/>
            </a:ln>
            <a:effectLst/>
          </c:spPr>
          <c:marker>
            <c:symbol val="none"/>
          </c:marker>
          <c:cat>
            <c:numRef>
              <c:f>'Headwater Streamflow'!$A$5:$A$128</c:f>
              <c:numCache>
                <c:formatCode>General</c:formatCode>
                <c:ptCount val="124"/>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numCache>
            </c:numRef>
          </c:cat>
          <c:val>
            <c:numRef>
              <c:f>'Headwater Streamflow'!$X$5:$X$128</c:f>
              <c:numCache>
                <c:formatCode>General</c:formatCode>
                <c:ptCount val="124"/>
                <c:pt idx="1">
                  <c:v>-0.33067271368828005</c:v>
                </c:pt>
                <c:pt idx="2">
                  <c:v>-0.43511056756344502</c:v>
                </c:pt>
                <c:pt idx="3">
                  <c:v>-2.6511230073631702E-2</c:v>
                </c:pt>
                <c:pt idx="4">
                  <c:v>-0.28798469745808203</c:v>
                </c:pt>
                <c:pt idx="5">
                  <c:v>-2.7982187099569802E-2</c:v>
                </c:pt>
                <c:pt idx="6">
                  <c:v>0.70598781624685603</c:v>
                </c:pt>
                <c:pt idx="7">
                  <c:v>5.0433018356323099E-2</c:v>
                </c:pt>
                <c:pt idx="8">
                  <c:v>0.53233309710752597</c:v>
                </c:pt>
                <c:pt idx="9">
                  <c:v>3.9735041825895295E-2</c:v>
                </c:pt>
                <c:pt idx="10">
                  <c:v>-0.216205992897882</c:v>
                </c:pt>
                <c:pt idx="11">
                  <c:v>0.36066074302816098</c:v>
                </c:pt>
                <c:pt idx="12">
                  <c:v>0.15856752863194201</c:v>
                </c:pt>
                <c:pt idx="13">
                  <c:v>0.45306046042506998</c:v>
                </c:pt>
                <c:pt idx="14">
                  <c:v>-8.7980617581014706E-2</c:v>
                </c:pt>
                <c:pt idx="15">
                  <c:v>0.213870015109562</c:v>
                </c:pt>
                <c:pt idx="16">
                  <c:v>0.402974467955317</c:v>
                </c:pt>
                <c:pt idx="17">
                  <c:v>5.2388710018827202E-2</c:v>
                </c:pt>
                <c:pt idx="18">
                  <c:v>-0.16254548692151802</c:v>
                </c:pt>
                <c:pt idx="19">
                  <c:v>0.25114987346718304</c:v>
                </c:pt>
                <c:pt idx="20">
                  <c:v>0.89642189518821003</c:v>
                </c:pt>
                <c:pt idx="21">
                  <c:v>0.60712159138377997</c:v>
                </c:pt>
                <c:pt idx="22">
                  <c:v>0.38637424056985603</c:v>
                </c:pt>
                <c:pt idx="23">
                  <c:v>-0.16789907380515601</c:v>
                </c:pt>
                <c:pt idx="24">
                  <c:v>1.21089123432307E-2</c:v>
                </c:pt>
                <c:pt idx="25">
                  <c:v>-0.103232048197167</c:v>
                </c:pt>
                <c:pt idx="26">
                  <c:v>0.24516514338672699</c:v>
                </c:pt>
                <c:pt idx="27">
                  <c:v>9.5021737329567396E-2</c:v>
                </c:pt>
                <c:pt idx="28">
                  <c:v>0.15415353329281201</c:v>
                </c:pt>
                <c:pt idx="29">
                  <c:v>-0.245335047027048</c:v>
                </c:pt>
                <c:pt idx="30">
                  <c:v>-0.47203125342665603</c:v>
                </c:pt>
                <c:pt idx="31">
                  <c:v>7.7899540761626002E-2</c:v>
                </c:pt>
                <c:pt idx="32">
                  <c:v>-0.12591254362517598</c:v>
                </c:pt>
                <c:pt idx="33">
                  <c:v>-0.58970315045584198</c:v>
                </c:pt>
                <c:pt idx="34">
                  <c:v>-0.21942187898912502</c:v>
                </c:pt>
                <c:pt idx="35">
                  <c:v>0.12733881471431599</c:v>
                </c:pt>
                <c:pt idx="36">
                  <c:v>-9.50344683077326E-2</c:v>
                </c:pt>
                <c:pt idx="37">
                  <c:v>6.3035543116132201E-2</c:v>
                </c:pt>
                <c:pt idx="38">
                  <c:v>-0.233493054549131</c:v>
                </c:pt>
                <c:pt idx="39">
                  <c:v>-0.38718842952072696</c:v>
                </c:pt>
                <c:pt idx="40">
                  <c:v>-0.220615258632298</c:v>
                </c:pt>
                <c:pt idx="41">
                  <c:v>-3.9467286134551999E-2</c:v>
                </c:pt>
                <c:pt idx="42">
                  <c:v>1.72881313569824E-2</c:v>
                </c:pt>
                <c:pt idx="43">
                  <c:v>-7.1547877318397207E-2</c:v>
                </c:pt>
                <c:pt idx="44">
                  <c:v>-7.4878748727407005E-2</c:v>
                </c:pt>
                <c:pt idx="45">
                  <c:v>-9.5386571638988709E-3</c:v>
                </c:pt>
                <c:pt idx="46">
                  <c:v>2.3870978675250999E-2</c:v>
                </c:pt>
                <c:pt idx="47">
                  <c:v>7.4707458148304998E-2</c:v>
                </c:pt>
                <c:pt idx="48">
                  <c:v>9.5158481330061995E-2</c:v>
                </c:pt>
                <c:pt idx="49">
                  <c:v>0.26343859233918898</c:v>
                </c:pt>
                <c:pt idx="50">
                  <c:v>0.148438469068433</c:v>
                </c:pt>
                <c:pt idx="51">
                  <c:v>0.47015417404570498</c:v>
                </c:pt>
                <c:pt idx="52">
                  <c:v>5.8810132091019398E-3</c:v>
                </c:pt>
                <c:pt idx="53">
                  <c:v>-0.32678447747111794</c:v>
                </c:pt>
                <c:pt idx="54">
                  <c:v>-0.27351980732925296</c:v>
                </c:pt>
                <c:pt idx="55">
                  <c:v>-3.1805902567104402E-2</c:v>
                </c:pt>
                <c:pt idx="56">
                  <c:v>7.2330473368315204E-2</c:v>
                </c:pt>
                <c:pt idx="57">
                  <c:v>-6.5962970612211706E-3</c:v>
                </c:pt>
                <c:pt idx="58">
                  <c:v>-0.30915575494549402</c:v>
                </c:pt>
                <c:pt idx="59">
                  <c:v>-0.27466719752130703</c:v>
                </c:pt>
                <c:pt idx="60">
                  <c:v>-0.54573829089085302</c:v>
                </c:pt>
                <c:pt idx="61">
                  <c:v>-1.1442673233913101E-2</c:v>
                </c:pt>
                <c:pt idx="62">
                  <c:v>-0.261906886954483</c:v>
                </c:pt>
                <c:pt idx="63">
                  <c:v>-7.6998591391209695E-2</c:v>
                </c:pt>
                <c:pt idx="64">
                  <c:v>0.255777260297887</c:v>
                </c:pt>
                <c:pt idx="65">
                  <c:v>-0.21409237522378402</c:v>
                </c:pt>
                <c:pt idx="66">
                  <c:v>4.4030677015084396E-2</c:v>
                </c:pt>
                <c:pt idx="67">
                  <c:v>3.47916556721466E-3</c:v>
                </c:pt>
                <c:pt idx="68">
                  <c:v>0.15019526779828798</c:v>
                </c:pt>
                <c:pt idx="69">
                  <c:v>8.0966467447885597E-3</c:v>
                </c:pt>
                <c:pt idx="70">
                  <c:v>0.39938253674769003</c:v>
                </c:pt>
                <c:pt idx="71">
                  <c:v>0.31205351896032202</c:v>
                </c:pt>
                <c:pt idx="72">
                  <c:v>9.7420203546143197E-2</c:v>
                </c:pt>
                <c:pt idx="73">
                  <c:v>0.30811941116671604</c:v>
                </c:pt>
                <c:pt idx="74">
                  <c:v>0.41304310945881201</c:v>
                </c:pt>
                <c:pt idx="75">
                  <c:v>-1.7631867136762801E-2</c:v>
                </c:pt>
                <c:pt idx="76">
                  <c:v>-0.512391158400336</c:v>
                </c:pt>
                <c:pt idx="77">
                  <c:v>0.20561453449630102</c:v>
                </c:pt>
                <c:pt idx="78">
                  <c:v>-0.14504649117905902</c:v>
                </c:pt>
                <c:pt idx="79">
                  <c:v>0.127977954626005</c:v>
                </c:pt>
                <c:pt idx="80">
                  <c:v>-0.23625667135793202</c:v>
                </c:pt>
                <c:pt idx="81">
                  <c:v>0.44849458171488299</c:v>
                </c:pt>
                <c:pt idx="82">
                  <c:v>0.98125517420301411</c:v>
                </c:pt>
                <c:pt idx="83">
                  <c:v>0.89689902260250809</c:v>
                </c:pt>
                <c:pt idx="84">
                  <c:v>0.306002653638074</c:v>
                </c:pt>
                <c:pt idx="85">
                  <c:v>0.94995836348938301</c:v>
                </c:pt>
                <c:pt idx="86">
                  <c:v>-0.23584711861868801</c:v>
                </c:pt>
                <c:pt idx="87">
                  <c:v>-0.43214052722557</c:v>
                </c:pt>
                <c:pt idx="88">
                  <c:v>-0.27350231950642101</c:v>
                </c:pt>
                <c:pt idx="89">
                  <c:v>-0.41675287391663096</c:v>
                </c:pt>
                <c:pt idx="90">
                  <c:v>-0.26722065028535696</c:v>
                </c:pt>
                <c:pt idx="91">
                  <c:v>-0.52454496132195905</c:v>
                </c:pt>
                <c:pt idx="92">
                  <c:v>0.19820563451521298</c:v>
                </c:pt>
                <c:pt idx="93">
                  <c:v>-0.307445581494527</c:v>
                </c:pt>
                <c:pt idx="94">
                  <c:v>0.34400806941236506</c:v>
                </c:pt>
                <c:pt idx="95">
                  <c:v>0.16399685889734802</c:v>
                </c:pt>
                <c:pt idx="96">
                  <c:v>0.36490897819011603</c:v>
                </c:pt>
                <c:pt idx="97">
                  <c:v>0.42864467921115496</c:v>
                </c:pt>
                <c:pt idx="98">
                  <c:v>0.249501578525126</c:v>
                </c:pt>
                <c:pt idx="99">
                  <c:v>-0.25566807082121501</c:v>
                </c:pt>
                <c:pt idx="100">
                  <c:v>-0.38167113527449303</c:v>
                </c:pt>
                <c:pt idx="101">
                  <c:v>-0.35605513879399803</c:v>
                </c:pt>
                <c:pt idx="102">
                  <c:v>-0.40624376039576704</c:v>
                </c:pt>
                <c:pt idx="103">
                  <c:v>-0.37017761034958702</c:v>
                </c:pt>
                <c:pt idx="104">
                  <c:v>0.13106727431561699</c:v>
                </c:pt>
                <c:pt idx="105">
                  <c:v>0.17279759833122299</c:v>
                </c:pt>
                <c:pt idx="106">
                  <c:v>-0.34193040939805597</c:v>
                </c:pt>
                <c:pt idx="107">
                  <c:v>-0.15150669076992998</c:v>
                </c:pt>
                <c:pt idx="108">
                  <c:v>6.01074957545309E-2</c:v>
                </c:pt>
                <c:pt idx="109">
                  <c:v>-0.20670593130838402</c:v>
                </c:pt>
                <c:pt idx="110">
                  <c:v>0.77624219648366899</c:v>
                </c:pt>
                <c:pt idx="111">
                  <c:v>-0.30997303152995903</c:v>
                </c:pt>
                <c:pt idx="112">
                  <c:v>-0.42011363100980903</c:v>
                </c:pt>
                <c:pt idx="113">
                  <c:v>-0.30043941084147702</c:v>
                </c:pt>
                <c:pt idx="114">
                  <c:v>-0.41396954116280399</c:v>
                </c:pt>
                <c:pt idx="115">
                  <c:v>-0.27921311654083303</c:v>
                </c:pt>
                <c:pt idx="116">
                  <c:v>0.230799739147283</c:v>
                </c:pt>
                <c:pt idx="117">
                  <c:v>-0.35691444517177201</c:v>
                </c:pt>
                <c:pt idx="118">
                  <c:v>-4.0108714022129704E-2</c:v>
                </c:pt>
                <c:pt idx="119">
                  <c:v>-0.28719161694397199</c:v>
                </c:pt>
                <c:pt idx="120">
                  <c:v>-0.60689294840886798</c:v>
                </c:pt>
                <c:pt idx="121">
                  <c:v>-0.32109574761468102</c:v>
                </c:pt>
                <c:pt idx="122">
                  <c:v>5.2502013897451801E-2</c:v>
                </c:pt>
              </c:numCache>
            </c:numRef>
          </c:val>
          <c:smooth val="0"/>
          <c:extLst>
            <c:ext xmlns:c16="http://schemas.microsoft.com/office/drawing/2014/chart" uri="{C3380CC4-5D6E-409C-BE32-E72D297353CC}">
              <c16:uniqueId val="{00000002-4C3D-1F48-BDD5-DF30E7081FD8}"/>
            </c:ext>
          </c:extLst>
        </c:ser>
        <c:ser>
          <c:idx val="0"/>
          <c:order val="1"/>
          <c:tx>
            <c:v>Baylee's Area Weighted</c:v>
          </c:tx>
          <c:spPr>
            <a:ln w="28575" cap="rnd">
              <a:solidFill>
                <a:schemeClr val="accent1"/>
              </a:solidFill>
              <a:round/>
            </a:ln>
            <a:effectLst/>
          </c:spPr>
          <c:marker>
            <c:symbol val="none"/>
          </c:marker>
          <c:cat>
            <c:numRef>
              <c:f>'Headwater Streamflow'!$A$5:$A$128</c:f>
              <c:numCache>
                <c:formatCode>General</c:formatCode>
                <c:ptCount val="124"/>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numCache>
            </c:numRef>
          </c:cat>
          <c:val>
            <c:numRef>
              <c:f>'Headwater Streamflow'!$V$5:$V$129</c:f>
              <c:numCache>
                <c:formatCode>General</c:formatCode>
                <c:ptCount val="125"/>
                <c:pt idx="1">
                  <c:v>-0.22752945678425365</c:v>
                </c:pt>
                <c:pt idx="2">
                  <c:v>-0.39189944313507047</c:v>
                </c:pt>
                <c:pt idx="3">
                  <c:v>0.16190730041260726</c:v>
                </c:pt>
                <c:pt idx="4">
                  <c:v>-7.2829356980785881E-2</c:v>
                </c:pt>
                <c:pt idx="5">
                  <c:v>0.34187773690728451</c:v>
                </c:pt>
                <c:pt idx="6">
                  <c:v>1.3050300952071214</c:v>
                </c:pt>
                <c:pt idx="7">
                  <c:v>0.29046973714204805</c:v>
                </c:pt>
                <c:pt idx="8">
                  <c:v>1.1683661661550166</c:v>
                </c:pt>
                <c:pt idx="9">
                  <c:v>0.41334883854434773</c:v>
                </c:pt>
                <c:pt idx="10">
                  <c:v>0.24279545581837406</c:v>
                </c:pt>
                <c:pt idx="11">
                  <c:v>0.66517220614675787</c:v>
                </c:pt>
                <c:pt idx="12">
                  <c:v>0.39165059045189776</c:v>
                </c:pt>
                <c:pt idx="13">
                  <c:v>0.84361520314417948</c:v>
                </c:pt>
                <c:pt idx="14">
                  <c:v>-0.16233106939269368</c:v>
                </c:pt>
                <c:pt idx="15">
                  <c:v>0.20515404898105757</c:v>
                </c:pt>
                <c:pt idx="16">
                  <c:v>0.4318934441063485</c:v>
                </c:pt>
                <c:pt idx="17">
                  <c:v>0.24187391045219711</c:v>
                </c:pt>
                <c:pt idx="18">
                  <c:v>-0.21878913377649051</c:v>
                </c:pt>
                <c:pt idx="19">
                  <c:v>0.19041825300058365</c:v>
                </c:pt>
                <c:pt idx="20">
                  <c:v>0.71444860903713603</c:v>
                </c:pt>
                <c:pt idx="21">
                  <c:v>0.52181072586713539</c:v>
                </c:pt>
                <c:pt idx="22">
                  <c:v>0.38071474085908807</c:v>
                </c:pt>
                <c:pt idx="23">
                  <c:v>-0.12352101244888684</c:v>
                </c:pt>
                <c:pt idx="24">
                  <c:v>-1.9465368172088895E-2</c:v>
                </c:pt>
                <c:pt idx="25">
                  <c:v>-0.16781116122805978</c:v>
                </c:pt>
                <c:pt idx="26">
                  <c:v>0.14466226688621425</c:v>
                </c:pt>
                <c:pt idx="27">
                  <c:v>-2.560137949440866E-2</c:v>
                </c:pt>
                <c:pt idx="28">
                  <c:v>-1.2640862221584276E-2</c:v>
                </c:pt>
                <c:pt idx="29">
                  <c:v>-0.31182954922955147</c:v>
                </c:pt>
                <c:pt idx="30">
                  <c:v>-0.5683760117137302</c:v>
                </c:pt>
                <c:pt idx="31">
                  <c:v>1.7132888805823143E-2</c:v>
                </c:pt>
                <c:pt idx="32">
                  <c:v>-0.21797991250502516</c:v>
                </c:pt>
                <c:pt idx="33">
                  <c:v>-0.64230630504784036</c:v>
                </c:pt>
                <c:pt idx="34">
                  <c:v>-0.31250864763271502</c:v>
                </c:pt>
                <c:pt idx="35">
                  <c:v>7.9930961858489288E-2</c:v>
                </c:pt>
                <c:pt idx="36">
                  <c:v>-0.19767743534557811</c:v>
                </c:pt>
                <c:pt idx="37">
                  <c:v>-7.8423968265158642E-2</c:v>
                </c:pt>
                <c:pt idx="38">
                  <c:v>-0.35752997353353944</c:v>
                </c:pt>
                <c:pt idx="39">
                  <c:v>-0.49894526149115465</c:v>
                </c:pt>
                <c:pt idx="40">
                  <c:v>-0.42966403862865599</c:v>
                </c:pt>
                <c:pt idx="41">
                  <c:v>-0.2714834427777949</c:v>
                </c:pt>
                <c:pt idx="42">
                  <c:v>9.8270114727820601E-3</c:v>
                </c:pt>
                <c:pt idx="43">
                  <c:v>-0.13170850991574579</c:v>
                </c:pt>
                <c:pt idx="44">
                  <c:v>-0.14768601985946364</c:v>
                </c:pt>
                <c:pt idx="45">
                  <c:v>2.746720554992747E-2</c:v>
                </c:pt>
                <c:pt idx="46">
                  <c:v>-8.216906245086834E-3</c:v>
                </c:pt>
                <c:pt idx="47">
                  <c:v>-8.1252320566040023E-3</c:v>
                </c:pt>
                <c:pt idx="48">
                  <c:v>-2.3681443114276592E-4</c:v>
                </c:pt>
                <c:pt idx="49">
                  <c:v>0.29410658362435399</c:v>
                </c:pt>
                <c:pt idx="50">
                  <c:v>0.17799565268424289</c:v>
                </c:pt>
                <c:pt idx="51">
                  <c:v>0.35878918726856451</c:v>
                </c:pt>
                <c:pt idx="52">
                  <c:v>-8.683780434382872E-2</c:v>
                </c:pt>
                <c:pt idx="53">
                  <c:v>-0.34797790804474049</c:v>
                </c:pt>
                <c:pt idx="54">
                  <c:v>-0.305451917810034</c:v>
                </c:pt>
                <c:pt idx="55">
                  <c:v>2.4943776460553423E-2</c:v>
                </c:pt>
                <c:pt idx="56">
                  <c:v>8.5029071205481671E-2</c:v>
                </c:pt>
                <c:pt idx="57">
                  <c:v>-9.1158148793033744E-2</c:v>
                </c:pt>
                <c:pt idx="58">
                  <c:v>-0.3106412139323258</c:v>
                </c:pt>
                <c:pt idx="59">
                  <c:v>-0.29786419642294448</c:v>
                </c:pt>
                <c:pt idx="60">
                  <c:v>-0.54831293008157966</c:v>
                </c:pt>
                <c:pt idx="61">
                  <c:v>-1.0512378715772029E-2</c:v>
                </c:pt>
                <c:pt idx="62">
                  <c:v>-0.27041095930209075</c:v>
                </c:pt>
                <c:pt idx="63">
                  <c:v>-8.9287328426824297E-2</c:v>
                </c:pt>
                <c:pt idx="64">
                  <c:v>0.27860002037990678</c:v>
                </c:pt>
                <c:pt idx="65">
                  <c:v>-0.20391512863107528</c:v>
                </c:pt>
                <c:pt idx="66">
                  <c:v>8.7840575431332724E-2</c:v>
                </c:pt>
                <c:pt idx="67">
                  <c:v>-1.5709554171274637E-2</c:v>
                </c:pt>
                <c:pt idx="68">
                  <c:v>6.9487737040799885E-2</c:v>
                </c:pt>
                <c:pt idx="69">
                  <c:v>-7.5475856684553963E-2</c:v>
                </c:pt>
                <c:pt idx="70">
                  <c:v>0.41521358920465384</c:v>
                </c:pt>
                <c:pt idx="71">
                  <c:v>0.35430851207558206</c:v>
                </c:pt>
                <c:pt idx="72">
                  <c:v>1.2957091682068732E-2</c:v>
                </c:pt>
                <c:pt idx="73">
                  <c:v>0.23348604109519153</c:v>
                </c:pt>
                <c:pt idx="74">
                  <c:v>0.26221890407337722</c:v>
                </c:pt>
                <c:pt idx="75">
                  <c:v>-3.9107786882210269E-2</c:v>
                </c:pt>
                <c:pt idx="76">
                  <c:v>-0.57328061654300011</c:v>
                </c:pt>
                <c:pt idx="77">
                  <c:v>8.0642437918293244E-2</c:v>
                </c:pt>
                <c:pt idx="78">
                  <c:v>-0.19990314191087746</c:v>
                </c:pt>
                <c:pt idx="79">
                  <c:v>9.2672094931649934E-2</c:v>
                </c:pt>
                <c:pt idx="80">
                  <c:v>-0.28249719969574832</c:v>
                </c:pt>
                <c:pt idx="81">
                  <c:v>0.37992065730826702</c:v>
                </c:pt>
                <c:pt idx="82">
                  <c:v>0.68217536904445053</c:v>
                </c:pt>
                <c:pt idx="83">
                  <c:v>0.75578901666510112</c:v>
                </c:pt>
                <c:pt idx="84">
                  <c:v>0.22344005615182766</c:v>
                </c:pt>
                <c:pt idx="85">
                  <c:v>0.88187330916758766</c:v>
                </c:pt>
                <c:pt idx="86">
                  <c:v>-0.25191315244010137</c:v>
                </c:pt>
                <c:pt idx="87">
                  <c:v>-0.41539619068400718</c:v>
                </c:pt>
                <c:pt idx="88">
                  <c:v>-0.24550248841533395</c:v>
                </c:pt>
                <c:pt idx="89">
                  <c:v>-0.40651054095159744</c:v>
                </c:pt>
                <c:pt idx="90">
                  <c:v>-0.28962262617827844</c:v>
                </c:pt>
                <c:pt idx="91">
                  <c:v>-0.52818369597414072</c:v>
                </c:pt>
                <c:pt idx="92">
                  <c:v>0.12726338392331057</c:v>
                </c:pt>
                <c:pt idx="93">
                  <c:v>-0.34377511046851272</c:v>
                </c:pt>
                <c:pt idx="94">
                  <c:v>0.21439776434406851</c:v>
                </c:pt>
                <c:pt idx="95">
                  <c:v>0.12363266108149897</c:v>
                </c:pt>
                <c:pt idx="96">
                  <c:v>0.48345795666636276</c:v>
                </c:pt>
                <c:pt idx="97">
                  <c:v>0.37048441088158152</c:v>
                </c:pt>
                <c:pt idx="98">
                  <c:v>0.35077311467953953</c:v>
                </c:pt>
                <c:pt idx="99">
                  <c:v>-0.23630076346558354</c:v>
                </c:pt>
                <c:pt idx="100">
                  <c:v>-0.41494741683692188</c:v>
                </c:pt>
                <c:pt idx="101">
                  <c:v>-0.42396090895208888</c:v>
                </c:pt>
                <c:pt idx="102">
                  <c:v>-0.3854644107397433</c:v>
                </c:pt>
                <c:pt idx="103">
                  <c:v>-0.4152360090618557</c:v>
                </c:pt>
                <c:pt idx="104">
                  <c:v>9.0296657015042608E-2</c:v>
                </c:pt>
                <c:pt idx="105">
                  <c:v>7.6907642525249759E-2</c:v>
                </c:pt>
                <c:pt idx="106">
                  <c:v>-0.33950543816559065</c:v>
                </c:pt>
                <c:pt idx="107">
                  <c:v>-0.14263352243056754</c:v>
                </c:pt>
                <c:pt idx="108">
                  <c:v>2.2530937855774195E-2</c:v>
                </c:pt>
                <c:pt idx="109">
                  <c:v>-0.22560448587481377</c:v>
                </c:pt>
                <c:pt idx="110">
                  <c:v>0.74970087827093601</c:v>
                </c:pt>
                <c:pt idx="111">
                  <c:v>-0.29959595870520106</c:v>
                </c:pt>
                <c:pt idx="112">
                  <c:v>-0.42956724556473064</c:v>
                </c:pt>
                <c:pt idx="113">
                  <c:v>-0.23558209620622586</c:v>
                </c:pt>
                <c:pt idx="114">
                  <c:v>-0.34961955097279596</c:v>
                </c:pt>
                <c:pt idx="115">
                  <c:v>-0.22159234958188037</c:v>
                </c:pt>
                <c:pt idx="116">
                  <c:v>0.43192416497483355</c:v>
                </c:pt>
                <c:pt idx="117">
                  <c:v>-0.28414838578130075</c:v>
                </c:pt>
                <c:pt idx="118">
                  <c:v>1.2713920084249828E-2</c:v>
                </c:pt>
                <c:pt idx="119">
                  <c:v>-0.23112426778365019</c:v>
                </c:pt>
                <c:pt idx="120">
                  <c:v>-0.55692545920556802</c:v>
                </c:pt>
                <c:pt idx="121">
                  <c:v>-0.38929904188440762</c:v>
                </c:pt>
                <c:pt idx="122">
                  <c:v>0.2092056726526115</c:v>
                </c:pt>
                <c:pt idx="123">
                  <c:v>-2.1830329821253824E-2</c:v>
                </c:pt>
                <c:pt idx="124">
                  <c:v>-0.3670444563235763</c:v>
                </c:pt>
              </c:numCache>
            </c:numRef>
          </c:val>
          <c:smooth val="0"/>
          <c:extLst>
            <c:ext xmlns:c16="http://schemas.microsoft.com/office/drawing/2014/chart" uri="{C3380CC4-5D6E-409C-BE32-E72D297353CC}">
              <c16:uniqueId val="{00000000-4C3D-1F48-BDD5-DF30E7081FD8}"/>
            </c:ext>
          </c:extLst>
        </c:ser>
        <c:dLbls>
          <c:showLegendKey val="0"/>
          <c:showVal val="0"/>
          <c:showCatName val="0"/>
          <c:showSerName val="0"/>
          <c:showPercent val="0"/>
          <c:showBubbleSize val="0"/>
        </c:dLbls>
        <c:smooth val="0"/>
        <c:axId val="2014578464"/>
        <c:axId val="2141403008"/>
      </c:lineChart>
      <c:catAx>
        <c:axId val="201457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03008"/>
        <c:crosses val="autoZero"/>
        <c:auto val="1"/>
        <c:lblAlgn val="ctr"/>
        <c:lblOffset val="100"/>
        <c:noMultiLvlLbl val="0"/>
      </c:catAx>
      <c:valAx>
        <c:axId val="214140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Deviation from 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78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STDEV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'Headwater Streamflow'!$A$5:$A$129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'Headwater Streamflow'!$AA$6:$AA$129</c:f>
              <c:numCache>
                <c:formatCode>General</c:formatCode>
                <c:ptCount val="124"/>
                <c:pt idx="0">
                  <c:v>147.75118563819697</c:v>
                </c:pt>
                <c:pt idx="1">
                  <c:v>80.290841775047895</c:v>
                </c:pt>
                <c:pt idx="2">
                  <c:v>197.12391095480626</c:v>
                </c:pt>
                <c:pt idx="3">
                  <c:v>139.22160016066201</c:v>
                </c:pt>
                <c:pt idx="4">
                  <c:v>172.81510247569236</c:v>
                </c:pt>
                <c:pt idx="5">
                  <c:v>294.17506603825962</c:v>
                </c:pt>
                <c:pt idx="6">
                  <c:v>179.26059992049537</c:v>
                </c:pt>
                <c:pt idx="7">
                  <c:v>327.63377524274642</c:v>
                </c:pt>
                <c:pt idx="8">
                  <c:v>252.55158591779332</c:v>
                </c:pt>
                <c:pt idx="9">
                  <c:v>215.19805950700427</c:v>
                </c:pt>
                <c:pt idx="10">
                  <c:v>295.30123770963246</c:v>
                </c:pt>
                <c:pt idx="11">
                  <c:v>247.00721375691469</c:v>
                </c:pt>
                <c:pt idx="12">
                  <c:v>286.58197608806495</c:v>
                </c:pt>
                <c:pt idx="13">
                  <c:v>212.91361397950072</c:v>
                </c:pt>
                <c:pt idx="14">
                  <c:v>247.23919409477853</c:v>
                </c:pt>
                <c:pt idx="15">
                  <c:v>236.53827734671705</c:v>
                </c:pt>
                <c:pt idx="16">
                  <c:v>218.86386851988755</c:v>
                </c:pt>
                <c:pt idx="17">
                  <c:v>137.05929244898428</c:v>
                </c:pt>
                <c:pt idx="18">
                  <c:v>221.2737403147764</c:v>
                </c:pt>
                <c:pt idx="19">
                  <c:v>313.60816411017453</c:v>
                </c:pt>
                <c:pt idx="20">
                  <c:v>206.61807981406315</c:v>
                </c:pt>
                <c:pt idx="21">
                  <c:v>220.12152541614077</c:v>
                </c:pt>
                <c:pt idx="22">
                  <c:v>134.0728153722705</c:v>
                </c:pt>
                <c:pt idx="23">
                  <c:v>197.15125655027219</c:v>
                </c:pt>
                <c:pt idx="24">
                  <c:v>182.18141647233168</c:v>
                </c:pt>
                <c:pt idx="25">
                  <c:v>261.26866695632043</c:v>
                </c:pt>
                <c:pt idx="26">
                  <c:v>210.09308571285666</c:v>
                </c:pt>
                <c:pt idx="27">
                  <c:v>212.61769016993071</c:v>
                </c:pt>
                <c:pt idx="28">
                  <c:v>163.22922167646541</c:v>
                </c:pt>
                <c:pt idx="29">
                  <c:v>125.40767496690896</c:v>
                </c:pt>
                <c:pt idx="30">
                  <c:v>223.71648521532498</c:v>
                </c:pt>
                <c:pt idx="31">
                  <c:v>166.90434663030095</c:v>
                </c:pt>
                <c:pt idx="32">
                  <c:v>98.04815096655139</c:v>
                </c:pt>
                <c:pt idx="33">
                  <c:v>197.08354097115796</c:v>
                </c:pt>
                <c:pt idx="34">
                  <c:v>198.92494439734335</c:v>
                </c:pt>
                <c:pt idx="35">
                  <c:v>174.83120605398901</c:v>
                </c:pt>
                <c:pt idx="36">
                  <c:v>246.85494563437032</c:v>
                </c:pt>
                <c:pt idx="37">
                  <c:v>206.20275964527579</c:v>
                </c:pt>
                <c:pt idx="38">
                  <c:v>176.65952351842134</c:v>
                </c:pt>
                <c:pt idx="39">
                  <c:v>243.87904118614063</c:v>
                </c:pt>
                <c:pt idx="40">
                  <c:v>236.75361287432327</c:v>
                </c:pt>
                <c:pt idx="41">
                  <c:v>175.57003649822161</c:v>
                </c:pt>
                <c:pt idx="42">
                  <c:v>197.08159421051536</c:v>
                </c:pt>
                <c:pt idx="43">
                  <c:v>206.34440766011221</c:v>
                </c:pt>
                <c:pt idx="44">
                  <c:v>157.41773801615017</c:v>
                </c:pt>
                <c:pt idx="45">
                  <c:v>184.59136859442617</c:v>
                </c:pt>
                <c:pt idx="46">
                  <c:v>189.05048299642266</c:v>
                </c:pt>
                <c:pt idx="47">
                  <c:v>192.7388243343068</c:v>
                </c:pt>
                <c:pt idx="48">
                  <c:v>193.00124059845905</c:v>
                </c:pt>
                <c:pt idx="49">
                  <c:v>188.11749880641258</c:v>
                </c:pt>
                <c:pt idx="50">
                  <c:v>229.99681097978245</c:v>
                </c:pt>
                <c:pt idx="51">
                  <c:v>189.55642794962949</c:v>
                </c:pt>
                <c:pt idx="52">
                  <c:v>153.95477801216592</c:v>
                </c:pt>
                <c:pt idx="53">
                  <c:v>172.8741009342296</c:v>
                </c:pt>
                <c:pt idx="54">
                  <c:v>199.26110056284608</c:v>
                </c:pt>
                <c:pt idx="55">
                  <c:v>196.31828625149939</c:v>
                </c:pt>
                <c:pt idx="56">
                  <c:v>197.78876038730201</c:v>
                </c:pt>
                <c:pt idx="57">
                  <c:v>154.06725782698604</c:v>
                </c:pt>
                <c:pt idx="58">
                  <c:v>172.43474217669979</c:v>
                </c:pt>
                <c:pt idx="59">
                  <c:v>116.27053762071479</c:v>
                </c:pt>
                <c:pt idx="60">
                  <c:v>219.06938656091552</c:v>
                </c:pt>
                <c:pt idx="61">
                  <c:v>176.35163747976404</c:v>
                </c:pt>
                <c:pt idx="62">
                  <c:v>190.00245523498469</c:v>
                </c:pt>
                <c:pt idx="63">
                  <c:v>231.51669704907977</c:v>
                </c:pt>
                <c:pt idx="64">
                  <c:v>142.59760580649134</c:v>
                </c:pt>
                <c:pt idx="65">
                  <c:v>224.85114345244011</c:v>
                </c:pt>
                <c:pt idx="66">
                  <c:v>209.0638592690205</c:v>
                </c:pt>
                <c:pt idx="67">
                  <c:v>246.09920136657934</c:v>
                </c:pt>
                <c:pt idx="68">
                  <c:v>190.48924199733474</c:v>
                </c:pt>
                <c:pt idx="69">
                  <c:v>210.63270870649131</c:v>
                </c:pt>
                <c:pt idx="70">
                  <c:v>181.34349930064036</c:v>
                </c:pt>
                <c:pt idx="71">
                  <c:v>213.78334878974462</c:v>
                </c:pt>
                <c:pt idx="72">
                  <c:v>182.70243334811505</c:v>
                </c:pt>
                <c:pt idx="73">
                  <c:v>219.38788772663477</c:v>
                </c:pt>
                <c:pt idx="74">
                  <c:v>169.01412283360276</c:v>
                </c:pt>
                <c:pt idx="75">
                  <c:v>117.06093716628445</c:v>
                </c:pt>
                <c:pt idx="76">
                  <c:v>235.00889163296381</c:v>
                </c:pt>
                <c:pt idx="77">
                  <c:v>183.19976810993984</c:v>
                </c:pt>
                <c:pt idx="78">
                  <c:v>231.28760843387084</c:v>
                </c:pt>
                <c:pt idx="79">
                  <c:v>181.42422586226195</c:v>
                </c:pt>
                <c:pt idx="80">
                  <c:v>271.35305270986595</c:v>
                </c:pt>
                <c:pt idx="81">
                  <c:v>307.45921770918847</c:v>
                </c:pt>
                <c:pt idx="82">
                  <c:v>258.21737398554933</c:v>
                </c:pt>
                <c:pt idx="83">
                  <c:v>197.14243464388846</c:v>
                </c:pt>
                <c:pt idx="84">
                  <c:v>241.02882360777519</c:v>
                </c:pt>
                <c:pt idx="85">
                  <c:v>149.51569393580183</c:v>
                </c:pt>
                <c:pt idx="86">
                  <c:v>122.45681498201448</c:v>
                </c:pt>
                <c:pt idx="87">
                  <c:v>153.82997272023039</c:v>
                </c:pt>
                <c:pt idx="88">
                  <c:v>164.13554406009325</c:v>
                </c:pt>
                <c:pt idx="89">
                  <c:v>185.410690528212</c:v>
                </c:pt>
                <c:pt idx="90">
                  <c:v>128.05380422735524</c:v>
                </c:pt>
                <c:pt idx="91">
                  <c:v>273.2732052012388</c:v>
                </c:pt>
                <c:pt idx="92">
                  <c:v>160.58715008087086</c:v>
                </c:pt>
                <c:pt idx="93">
                  <c:v>286.79004946444007</c:v>
                </c:pt>
                <c:pt idx="94">
                  <c:v>204.43247217445463</c:v>
                </c:pt>
                <c:pt idx="95">
                  <c:v>247.3512998762339</c:v>
                </c:pt>
                <c:pt idx="96">
                  <c:v>257.62176379575021</c:v>
                </c:pt>
                <c:pt idx="97">
                  <c:v>193.21471284939162</c:v>
                </c:pt>
                <c:pt idx="98">
                  <c:v>150.3488470268851</c:v>
                </c:pt>
                <c:pt idx="99">
                  <c:v>148.96579373259243</c:v>
                </c:pt>
                <c:pt idx="100">
                  <c:v>156.47316207382869</c:v>
                </c:pt>
                <c:pt idx="101">
                  <c:v>157.53110629039287</c:v>
                </c:pt>
                <c:pt idx="102">
                  <c:v>164.76216677202416</c:v>
                </c:pt>
                <c:pt idx="103">
                  <c:v>250.87001279894895</c:v>
                </c:pt>
                <c:pt idx="104">
                  <c:v>227.27876676556937</c:v>
                </c:pt>
                <c:pt idx="105">
                  <c:v>153.76307848632592</c:v>
                </c:pt>
                <c:pt idx="106">
                  <c:v>185.71627633781304</c:v>
                </c:pt>
                <c:pt idx="107">
                  <c:v>229.17152023053751</c:v>
                </c:pt>
                <c:pt idx="108">
                  <c:v>174.73650670989093</c:v>
                </c:pt>
                <c:pt idx="109">
                  <c:v>267.3233221908518</c:v>
                </c:pt>
                <c:pt idx="110">
                  <c:v>148.32409862350141</c:v>
                </c:pt>
                <c:pt idx="111">
                  <c:v>146.13147797357232</c:v>
                </c:pt>
                <c:pt idx="112">
                  <c:v>174.91952284633263</c:v>
                </c:pt>
                <c:pt idx="113">
                  <c:v>143.97692406832414</c:v>
                </c:pt>
                <c:pt idx="114">
                  <c:v>165.59371600055775</c:v>
                </c:pt>
                <c:pt idx="115">
                  <c:v>238.15171591786577</c:v>
                </c:pt>
                <c:pt idx="116">
                  <c:v>144.1955102893566</c:v>
                </c:pt>
                <c:pt idx="117">
                  <c:v>195.85714855192265</c:v>
                </c:pt>
                <c:pt idx="118">
                  <c:v>161.17231470179595</c:v>
                </c:pt>
                <c:pt idx="119">
                  <c:v>89.365165147492107</c:v>
                </c:pt>
                <c:pt idx="120">
                  <c:v>140.69039890344885</c:v>
                </c:pt>
                <c:pt idx="121">
                  <c:v>196.96635687042678</c:v>
                </c:pt>
                <c:pt idx="122">
                  <c:v>122.21434583901829</c:v>
                </c:pt>
                <c:pt idx="123">
                  <c:v>102.87109903079447</c:v>
                </c:pt>
              </c:numCache>
            </c:numRef>
          </c:val>
          <c:smooth val="0"/>
          <c:extLst>
            <c:ext xmlns:c16="http://schemas.microsoft.com/office/drawing/2014/chart" uri="{C3380CC4-5D6E-409C-BE32-E72D297353CC}">
              <c16:uniqueId val="{00000000-32BF-F84C-8F0A-9DFED4EFBEF2}"/>
            </c:ext>
          </c:extLst>
        </c:ser>
        <c:dLbls>
          <c:showLegendKey val="0"/>
          <c:showVal val="0"/>
          <c:showCatName val="0"/>
          <c:showSerName val="0"/>
          <c:showPercent val="0"/>
          <c:showBubbleSize val="0"/>
        </c:dLbls>
        <c:smooth val="0"/>
        <c:axId val="1846771072"/>
        <c:axId val="762484991"/>
      </c:lineChart>
      <c:catAx>
        <c:axId val="18467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484991"/>
        <c:crosses val="autoZero"/>
        <c:auto val="1"/>
        <c:lblAlgn val="ctr"/>
        <c:lblOffset val="100"/>
        <c:noMultiLvlLbl val="0"/>
      </c:catAx>
      <c:valAx>
        <c:axId val="76248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7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Variation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'Headwater Streamflow'!$A$5:$A$129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'Headwater Streamflow'!$AB$6:$AB$129</c:f>
              <c:numCache>
                <c:formatCode>General</c:formatCode>
                <c:ptCount val="124"/>
                <c:pt idx="0">
                  <c:v>0.69154455705572937</c:v>
                </c:pt>
                <c:pt idx="1">
                  <c:v>0.44527702134449965</c:v>
                </c:pt>
                <c:pt idx="2">
                  <c:v>0.63436042898335698</c:v>
                </c:pt>
                <c:pt idx="3">
                  <c:v>0.61242321048297699</c:v>
                </c:pt>
                <c:pt idx="4">
                  <c:v>0.55683675867803639</c:v>
                </c:pt>
                <c:pt idx="5">
                  <c:v>0.54008163324556502</c:v>
                </c:pt>
                <c:pt idx="6">
                  <c:v>0.53444425488437297</c:v>
                </c:pt>
                <c:pt idx="7">
                  <c:v>0.66967233253434888</c:v>
                </c:pt>
                <c:pt idx="8">
                  <c:v>0.76080047511885651</c:v>
                </c:pt>
                <c:pt idx="9">
                  <c:v>0.85990697565880037</c:v>
                </c:pt>
                <c:pt idx="10">
                  <c:v>0.67968798448925649</c:v>
                </c:pt>
                <c:pt idx="11">
                  <c:v>0.66780016638289608</c:v>
                </c:pt>
                <c:pt idx="12">
                  <c:v>0.61775098322247435</c:v>
                </c:pt>
                <c:pt idx="13">
                  <c:v>0.73115788529942993</c:v>
                </c:pt>
                <c:pt idx="14">
                  <c:v>0.63772967033486128</c:v>
                </c:pt>
                <c:pt idx="15">
                  <c:v>0.52800263366266409</c:v>
                </c:pt>
                <c:pt idx="16">
                  <c:v>0.65141454763830142</c:v>
                </c:pt>
                <c:pt idx="17">
                  <c:v>0.5125703052971442</c:v>
                </c:pt>
                <c:pt idx="18">
                  <c:v>0.55378281780574812</c:v>
                </c:pt>
                <c:pt idx="19">
                  <c:v>0.51792210365782432</c:v>
                </c:pt>
                <c:pt idx="20">
                  <c:v>0.40253209902680631</c:v>
                </c:pt>
                <c:pt idx="21">
                  <c:v>0.49709587644934206</c:v>
                </c:pt>
                <c:pt idx="22">
                  <c:v>0.50406797041849949</c:v>
                </c:pt>
                <c:pt idx="23">
                  <c:v>0.60987202534193086</c:v>
                </c:pt>
                <c:pt idx="24">
                  <c:v>0.63607883845017399</c:v>
                </c:pt>
                <c:pt idx="25">
                  <c:v>0.65697813026176466</c:v>
                </c:pt>
                <c:pt idx="26">
                  <c:v>0.60004981660760692</c:v>
                </c:pt>
                <c:pt idx="27">
                  <c:v>0.57635881728632476</c:v>
                </c:pt>
                <c:pt idx="28">
                  <c:v>0.67671100027400122</c:v>
                </c:pt>
                <c:pt idx="29">
                  <c:v>0.74349467928885105</c:v>
                </c:pt>
                <c:pt idx="30">
                  <c:v>0.64914896281982359</c:v>
                </c:pt>
                <c:pt idx="31">
                  <c:v>0.59755723421370488</c:v>
                </c:pt>
                <c:pt idx="32">
                  <c:v>0.74798684337643262</c:v>
                </c:pt>
                <c:pt idx="33">
                  <c:v>0.7900816095047144</c:v>
                </c:pt>
                <c:pt idx="34">
                  <c:v>0.55189214046350976</c:v>
                </c:pt>
                <c:pt idx="35">
                  <c:v>0.60446731984348712</c:v>
                </c:pt>
                <c:pt idx="36">
                  <c:v>0.72653951361003588</c:v>
                </c:pt>
                <c:pt idx="37">
                  <c:v>0.8418747594445517</c:v>
                </c:pt>
                <c:pt idx="38">
                  <c:v>0.90167865331883201</c:v>
                </c:pt>
                <c:pt idx="39">
                  <c:v>0.97952730945797795</c:v>
                </c:pt>
                <c:pt idx="40">
                  <c:v>0.7712545015934974</c:v>
                </c:pt>
                <c:pt idx="41">
                  <c:v>0.54048165688353422</c:v>
                </c:pt>
                <c:pt idx="42">
                  <c:v>0.66454150959260105</c:v>
                </c:pt>
                <c:pt idx="43">
                  <c:v>0.69869125603967974</c:v>
                </c:pt>
                <c:pt idx="44">
                  <c:v>0.49768655996258193</c:v>
                </c:pt>
                <c:pt idx="45">
                  <c:v>0.56478407731150548</c:v>
                </c:pt>
                <c:pt idx="46">
                  <c:v>0.55058592562240039</c:v>
                </c:pt>
                <c:pt idx="47">
                  <c:v>0.55115767129196347</c:v>
                </c:pt>
                <c:pt idx="48">
                  <c:v>0.47821545288043515</c:v>
                </c:pt>
                <c:pt idx="49">
                  <c:v>0.51287480244278261</c:v>
                </c:pt>
                <c:pt idx="50">
                  <c:v>0.48970711439115416</c:v>
                </c:pt>
                <c:pt idx="51">
                  <c:v>0.59024825495926403</c:v>
                </c:pt>
                <c:pt idx="52">
                  <c:v>0.71618526180169295</c:v>
                </c:pt>
                <c:pt idx="53">
                  <c:v>0.74535416894086637</c:v>
                </c:pt>
                <c:pt idx="54">
                  <c:v>0.64412989766641071</c:v>
                </c:pt>
                <c:pt idx="55">
                  <c:v>0.57336096878822351</c:v>
                </c:pt>
                <c:pt idx="56">
                  <c:v>0.62358068508175979</c:v>
                </c:pt>
                <c:pt idx="57">
                  <c:v>0.69864567582921211</c:v>
                </c:pt>
                <c:pt idx="58">
                  <c:v>0.74427056869159769</c:v>
                </c:pt>
                <c:pt idx="59">
                  <c:v>0.80149834292800759</c:v>
                </c:pt>
                <c:pt idx="60">
                  <c:v>0.69374794610399582</c:v>
                </c:pt>
                <c:pt idx="61">
                  <c:v>0.74792815992459361</c:v>
                </c:pt>
                <c:pt idx="62">
                  <c:v>0.64421081544727754</c:v>
                </c:pt>
                <c:pt idx="63">
                  <c:v>0.57720100290032883</c:v>
                </c:pt>
                <c:pt idx="64">
                  <c:v>0.56794262573194687</c:v>
                </c:pt>
                <c:pt idx="65">
                  <c:v>0.67415011113979828</c:v>
                </c:pt>
                <c:pt idx="66">
                  <c:v>0.651925079151362</c:v>
                </c:pt>
                <c:pt idx="67">
                  <c:v>0.66972138041161877</c:v>
                </c:pt>
                <c:pt idx="68">
                  <c:v>0.61991611591429285</c:v>
                </c:pt>
                <c:pt idx="69">
                  <c:v>0.47109474452053729</c:v>
                </c:pt>
                <c:pt idx="70">
                  <c:v>0.4322614741659212</c:v>
                </c:pt>
                <c:pt idx="71">
                  <c:v>0.60971059831157837</c:v>
                </c:pt>
                <c:pt idx="72">
                  <c:v>0.43714299541086421</c:v>
                </c:pt>
                <c:pt idx="73">
                  <c:v>0.48608504243510431</c:v>
                </c:pt>
                <c:pt idx="74">
                  <c:v>0.5380445736534567</c:v>
                </c:pt>
                <c:pt idx="75">
                  <c:v>0.75175998905541752</c:v>
                </c:pt>
                <c:pt idx="76">
                  <c:v>0.61024162505809043</c:v>
                </c:pt>
                <c:pt idx="77">
                  <c:v>0.6708255063504045</c:v>
                </c:pt>
                <c:pt idx="78">
                  <c:v>0.64135530201798241</c:v>
                </c:pt>
                <c:pt idx="79">
                  <c:v>0.74387206623986335</c:v>
                </c:pt>
                <c:pt idx="80">
                  <c:v>0.58640359157759825</c:v>
                </c:pt>
                <c:pt idx="81">
                  <c:v>0.48577943378610272</c:v>
                </c:pt>
                <c:pt idx="82">
                  <c:v>0.42589195549257053</c:v>
                </c:pt>
                <c:pt idx="83">
                  <c:v>0.47245825454330415</c:v>
                </c:pt>
                <c:pt idx="84">
                  <c:v>0.3868191022286474</c:v>
                </c:pt>
                <c:pt idx="85">
                  <c:v>0.61255513416428586</c:v>
                </c:pt>
                <c:pt idx="86">
                  <c:v>0.67459989571400969</c:v>
                </c:pt>
                <c:pt idx="87">
                  <c:v>0.66288337399481845</c:v>
                </c:pt>
                <c:pt idx="88">
                  <c:v>0.8813235639780046</c:v>
                </c:pt>
                <c:pt idx="89">
                  <c:v>0.7923547024166504</c:v>
                </c:pt>
                <c:pt idx="90">
                  <c:v>0.84254113367072991</c:v>
                </c:pt>
                <c:pt idx="91">
                  <c:v>0.71432236666673099</c:v>
                </c:pt>
                <c:pt idx="92">
                  <c:v>0.72638183765640085</c:v>
                </c:pt>
                <c:pt idx="93">
                  <c:v>0.66857803556497419</c:v>
                </c:pt>
                <c:pt idx="94">
                  <c:v>0.54981612102226474</c:v>
                </c:pt>
                <c:pt idx="95">
                  <c:v>0.56751967028062433</c:v>
                </c:pt>
                <c:pt idx="96">
                  <c:v>0.56481822846802776</c:v>
                </c:pt>
                <c:pt idx="97">
                  <c:v>0.48425072191319218</c:v>
                </c:pt>
                <c:pt idx="98">
                  <c:v>0.63231204719186762</c:v>
                </c:pt>
                <c:pt idx="99">
                  <c:v>0.75476148266440923</c:v>
                </c:pt>
                <c:pt idx="100">
                  <c:v>0.76115184573457451</c:v>
                </c:pt>
                <c:pt idx="101">
                  <c:v>0.83125515855126964</c:v>
                </c:pt>
                <c:pt idx="102">
                  <c:v>0.81915279642473149</c:v>
                </c:pt>
                <c:pt idx="103">
                  <c:v>0.69477439545509256</c:v>
                </c:pt>
                <c:pt idx="104">
                  <c:v>0.60702184755336175</c:v>
                </c:pt>
                <c:pt idx="105">
                  <c:v>0.73188859145973617</c:v>
                </c:pt>
                <c:pt idx="106">
                  <c:v>0.68532663634533364</c:v>
                </c:pt>
                <c:pt idx="107">
                  <c:v>0.67713270898776468</c:v>
                </c:pt>
                <c:pt idx="108">
                  <c:v>0.68998909560795063</c:v>
                </c:pt>
                <c:pt idx="109">
                  <c:v>0.47129028437625187</c:v>
                </c:pt>
                <c:pt idx="110">
                  <c:v>0.67265047223426255</c:v>
                </c:pt>
                <c:pt idx="111">
                  <c:v>0.78965228653871589</c:v>
                </c:pt>
                <c:pt idx="112">
                  <c:v>0.78341405713253753</c:v>
                </c:pt>
                <c:pt idx="113">
                  <c:v>0.77103299660900981</c:v>
                </c:pt>
                <c:pt idx="114">
                  <c:v>0.73706332454240964</c:v>
                </c:pt>
                <c:pt idx="115">
                  <c:v>0.59519655692474049</c:v>
                </c:pt>
                <c:pt idx="116">
                  <c:v>0.69940017322852077</c:v>
                </c:pt>
                <c:pt idx="117">
                  <c:v>0.61625852582948693</c:v>
                </c:pt>
                <c:pt idx="118">
                  <c:v>0.67598152210753093</c:v>
                </c:pt>
                <c:pt idx="119">
                  <c:v>0.64339431959961191</c:v>
                </c:pt>
                <c:pt idx="120">
                  <c:v>0.81571791257565462</c:v>
                </c:pt>
                <c:pt idx="121">
                  <c:v>0.53542366798252383</c:v>
                </c:pt>
                <c:pt idx="122">
                  <c:v>0.44214593170187783</c:v>
                </c:pt>
                <c:pt idx="123">
                  <c:v>0.6299896191846952</c:v>
                </c:pt>
              </c:numCache>
            </c:numRef>
          </c:val>
          <c:smooth val="0"/>
          <c:extLst>
            <c:ext xmlns:c16="http://schemas.microsoft.com/office/drawing/2014/chart" uri="{C3380CC4-5D6E-409C-BE32-E72D297353CC}">
              <c16:uniqueId val="{00000000-EE4F-4F4A-ABC7-CB1390B58FAB}"/>
            </c:ext>
          </c:extLst>
        </c:ser>
        <c:dLbls>
          <c:showLegendKey val="0"/>
          <c:showVal val="0"/>
          <c:showCatName val="0"/>
          <c:showSerName val="0"/>
          <c:showPercent val="0"/>
          <c:showBubbleSize val="0"/>
        </c:dLbls>
        <c:smooth val="0"/>
        <c:axId val="1331269903"/>
        <c:axId val="1331249535"/>
      </c:lineChart>
      <c:catAx>
        <c:axId val="13312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49535"/>
        <c:crosses val="autoZero"/>
        <c:auto val="1"/>
        <c:lblAlgn val="ctr"/>
        <c:lblOffset val="100"/>
        <c:noMultiLvlLbl val="0"/>
      </c:catAx>
      <c:valAx>
        <c:axId val="133124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'Baseflow '!$W$3</c:f>
              <c:strCache>
                <c:ptCount val="1"/>
                <c:pt idx="0">
                  <c:v>Megs' # (GSL Policy Update)</c:v>
                </c:pt>
              </c:strCache>
            </c:strRef>
          </c:tx>
          <c:spPr>
            <a:ln w="28575" cap="rnd">
              <a:solidFill>
                <a:schemeClr val="accent2"/>
              </a:solidFill>
              <a:round/>
            </a:ln>
            <a:effectLst/>
          </c:spPr>
          <c:marker>
            <c:symbol val="none"/>
          </c:marker>
          <c:cat>
            <c:numRef>
              <c:f>'Baseflow '!$A$5:$A$129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'Baseflow '!$X$5:$X$129</c:f>
              <c:numCache>
                <c:formatCode>General</c:formatCode>
                <c:ptCount val="125"/>
                <c:pt idx="1">
                  <c:v>-0.146950736791189</c:v>
                </c:pt>
                <c:pt idx="2">
                  <c:v>-0.17659439806455202</c:v>
                </c:pt>
                <c:pt idx="3">
                  <c:v>-9.7631360913766299E-2</c:v>
                </c:pt>
                <c:pt idx="4">
                  <c:v>-2.05368038043129E-2</c:v>
                </c:pt>
                <c:pt idx="5">
                  <c:v>-4.4378287689433395E-2</c:v>
                </c:pt>
                <c:pt idx="6">
                  <c:v>0.34161805749922203</c:v>
                </c:pt>
                <c:pt idx="7">
                  <c:v>0.25212400354435299</c:v>
                </c:pt>
                <c:pt idx="8">
                  <c:v>0.55495788048866002</c:v>
                </c:pt>
                <c:pt idx="9">
                  <c:v>0.81994989966885901</c:v>
                </c:pt>
                <c:pt idx="10">
                  <c:v>0.18871063868549001</c:v>
                </c:pt>
                <c:pt idx="11">
                  <c:v>-0.154285007180016</c:v>
                </c:pt>
                <c:pt idx="12">
                  <c:v>-2.0871018844226901E-3</c:v>
                </c:pt>
                <c:pt idx="13">
                  <c:v>0.13902453522316699</c:v>
                </c:pt>
                <c:pt idx="14">
                  <c:v>4.8174938978703501E-2</c:v>
                </c:pt>
                <c:pt idx="15">
                  <c:v>-4.8494020447797007E-2</c:v>
                </c:pt>
                <c:pt idx="16">
                  <c:v>1.39833495935203E-2</c:v>
                </c:pt>
                <c:pt idx="17">
                  <c:v>0.140712414050432</c:v>
                </c:pt>
                <c:pt idx="18">
                  <c:v>-3.72133090707156E-2</c:v>
                </c:pt>
                <c:pt idx="19">
                  <c:v>7.3798206423910898E-2</c:v>
                </c:pt>
                <c:pt idx="20">
                  <c:v>0.340246138303053</c:v>
                </c:pt>
                <c:pt idx="21">
                  <c:v>0.42814154963587397</c:v>
                </c:pt>
                <c:pt idx="22">
                  <c:v>0.40893825376201598</c:v>
                </c:pt>
                <c:pt idx="23">
                  <c:v>0.238013082743504</c:v>
                </c:pt>
                <c:pt idx="24">
                  <c:v>5.0440638640420102E-2</c:v>
                </c:pt>
                <c:pt idx="25">
                  <c:v>3.1824969477686801E-2</c:v>
                </c:pt>
                <c:pt idx="26">
                  <c:v>-1.0793865777908701E-2</c:v>
                </c:pt>
                <c:pt idx="27">
                  <c:v>0.174674931662778</c:v>
                </c:pt>
                <c:pt idx="28">
                  <c:v>-4.6614815199317795E-2</c:v>
                </c:pt>
                <c:pt idx="29">
                  <c:v>-4.6340081300205907E-2</c:v>
                </c:pt>
                <c:pt idx="30">
                  <c:v>-9.4542446798868904E-2</c:v>
                </c:pt>
                <c:pt idx="31">
                  <c:v>-0.27430851176645299</c:v>
                </c:pt>
                <c:pt idx="32">
                  <c:v>-8.3238480840826801E-2</c:v>
                </c:pt>
                <c:pt idx="33">
                  <c:v>-0.18865597659629699</c:v>
                </c:pt>
                <c:pt idx="34">
                  <c:v>-0.30589341292300198</c:v>
                </c:pt>
                <c:pt idx="35">
                  <c:v>-0.26985969927626202</c:v>
                </c:pt>
                <c:pt idx="36">
                  <c:v>-0.18402795481318002</c:v>
                </c:pt>
                <c:pt idx="37">
                  <c:v>-7.8885250994685699E-2</c:v>
                </c:pt>
                <c:pt idx="38">
                  <c:v>-9.5920381424982701E-2</c:v>
                </c:pt>
                <c:pt idx="39">
                  <c:v>-0.27102425873367797</c:v>
                </c:pt>
                <c:pt idx="40">
                  <c:v>-0.30137431718373198</c:v>
                </c:pt>
                <c:pt idx="41">
                  <c:v>-7.0357111189722099E-2</c:v>
                </c:pt>
                <c:pt idx="42">
                  <c:v>-7.9286183152837392E-2</c:v>
                </c:pt>
                <c:pt idx="43">
                  <c:v>-0.11321188133848401</c:v>
                </c:pt>
                <c:pt idx="44">
                  <c:v>-0.116925274296313</c:v>
                </c:pt>
                <c:pt idx="45">
                  <c:v>4.8983160836185001E-2</c:v>
                </c:pt>
                <c:pt idx="46">
                  <c:v>-2.28133421830247E-2</c:v>
                </c:pt>
                <c:pt idx="47">
                  <c:v>4.3164757247308297E-2</c:v>
                </c:pt>
                <c:pt idx="48">
                  <c:v>-6.3399012190017603E-2</c:v>
                </c:pt>
                <c:pt idx="49">
                  <c:v>1.47318802376633E-2</c:v>
                </c:pt>
                <c:pt idx="50">
                  <c:v>0.12517029101861499</c:v>
                </c:pt>
                <c:pt idx="51">
                  <c:v>4.8020753991095101E-2</c:v>
                </c:pt>
                <c:pt idx="52">
                  <c:v>0.16185282401446399</c:v>
                </c:pt>
                <c:pt idx="53">
                  <c:v>-2.5562885546419199E-3</c:v>
                </c:pt>
                <c:pt idx="54">
                  <c:v>-0.23470910821037802</c:v>
                </c:pt>
                <c:pt idx="55">
                  <c:v>0.13558737762557901</c:v>
                </c:pt>
                <c:pt idx="56">
                  <c:v>-0.18041472834977998</c:v>
                </c:pt>
                <c:pt idx="57">
                  <c:v>-4.7244379202458602E-2</c:v>
                </c:pt>
                <c:pt idx="58">
                  <c:v>-9.8896127319418603E-2</c:v>
                </c:pt>
                <c:pt idx="59">
                  <c:v>-0.21066508136878501</c:v>
                </c:pt>
                <c:pt idx="60">
                  <c:v>-0.308136085638752</c:v>
                </c:pt>
                <c:pt idx="61">
                  <c:v>-0.29271885213190402</c:v>
                </c:pt>
                <c:pt idx="62">
                  <c:v>-0.240697237053591</c:v>
                </c:pt>
                <c:pt idx="63">
                  <c:v>-0.28098443520081101</c:v>
                </c:pt>
                <c:pt idx="64">
                  <c:v>0.144389578726449</c:v>
                </c:pt>
                <c:pt idx="65">
                  <c:v>4.6303417985485602E-2</c:v>
                </c:pt>
                <c:pt idx="66">
                  <c:v>-0.10788960293690501</c:v>
                </c:pt>
                <c:pt idx="67">
                  <c:v>-7.4416484734398602E-2</c:v>
                </c:pt>
                <c:pt idx="68">
                  <c:v>0.29281611689443099</c:v>
                </c:pt>
                <c:pt idx="69">
                  <c:v>8.6298511489381002E-2</c:v>
                </c:pt>
                <c:pt idx="70">
                  <c:v>0.63216391271123595</c:v>
                </c:pt>
                <c:pt idx="71">
                  <c:v>0.38789104289481402</c:v>
                </c:pt>
                <c:pt idx="72">
                  <c:v>0.15381927642218099</c:v>
                </c:pt>
                <c:pt idx="73">
                  <c:v>0.17784712835237301</c:v>
                </c:pt>
                <c:pt idx="74">
                  <c:v>0.12014693282444799</c:v>
                </c:pt>
                <c:pt idx="75">
                  <c:v>0.184674810002736</c:v>
                </c:pt>
                <c:pt idx="76">
                  <c:v>-0.16031632542066698</c:v>
                </c:pt>
                <c:pt idx="77">
                  <c:v>-0.21296215469652602</c:v>
                </c:pt>
                <c:pt idx="78">
                  <c:v>-4.0687345363791198E-2</c:v>
                </c:pt>
                <c:pt idx="79">
                  <c:v>7.0905860149779301E-2</c:v>
                </c:pt>
                <c:pt idx="80">
                  <c:v>-6.0856752897926795E-2</c:v>
                </c:pt>
                <c:pt idx="81">
                  <c:v>1.4570720010271701E-2</c:v>
                </c:pt>
                <c:pt idx="82">
                  <c:v>0.61866105373942293</c:v>
                </c:pt>
                <c:pt idx="83">
                  <c:v>0.68176062056592801</c:v>
                </c:pt>
                <c:pt idx="84">
                  <c:v>0.48694567981901499</c:v>
                </c:pt>
                <c:pt idx="85">
                  <c:v>0.47860239339051802</c:v>
                </c:pt>
                <c:pt idx="86">
                  <c:v>0.293359970760175</c:v>
                </c:pt>
                <c:pt idx="87">
                  <c:v>-0.103314583581311</c:v>
                </c:pt>
                <c:pt idx="88">
                  <c:v>-0.22155650530943499</c:v>
                </c:pt>
                <c:pt idx="89">
                  <c:v>-0.185801920823945</c:v>
                </c:pt>
                <c:pt idx="90">
                  <c:v>-0.34941226611893694</c:v>
                </c:pt>
                <c:pt idx="91">
                  <c:v>-0.18256990656675198</c:v>
                </c:pt>
                <c:pt idx="92">
                  <c:v>-0.33233225258365201</c:v>
                </c:pt>
                <c:pt idx="93">
                  <c:v>-8.8720304140084791E-2</c:v>
                </c:pt>
                <c:pt idx="94">
                  <c:v>-9.6109387410228495E-2</c:v>
                </c:pt>
                <c:pt idx="95">
                  <c:v>0.11859752037481201</c:v>
                </c:pt>
                <c:pt idx="96">
                  <c:v>0.31749756689200703</c:v>
                </c:pt>
                <c:pt idx="97">
                  <c:v>0.22928139966302102</c:v>
                </c:pt>
                <c:pt idx="98">
                  <c:v>0.30325195623822798</c:v>
                </c:pt>
                <c:pt idx="99">
                  <c:v>0.15766282561043801</c:v>
                </c:pt>
                <c:pt idx="100">
                  <c:v>-0.170622815374494</c:v>
                </c:pt>
                <c:pt idx="101">
                  <c:v>-0.24145957340119101</c:v>
                </c:pt>
                <c:pt idx="102">
                  <c:v>-0.24041395648527397</c:v>
                </c:pt>
                <c:pt idx="103">
                  <c:v>-0.235298140273519</c:v>
                </c:pt>
                <c:pt idx="104">
                  <c:v>-7.0263140104508501E-2</c:v>
                </c:pt>
                <c:pt idx="105">
                  <c:v>2.882914282402E-2</c:v>
                </c:pt>
                <c:pt idx="106">
                  <c:v>-6.87859600859827E-2</c:v>
                </c:pt>
                <c:pt idx="107">
                  <c:v>-0.21963690507454298</c:v>
                </c:pt>
                <c:pt idx="108">
                  <c:v>-8.3659686934860408E-2</c:v>
                </c:pt>
                <c:pt idx="109">
                  <c:v>-0.117080513372929</c:v>
                </c:pt>
                <c:pt idx="110">
                  <c:v>0.194702330827941</c:v>
                </c:pt>
                <c:pt idx="111">
                  <c:v>0.21130710778655298</c:v>
                </c:pt>
                <c:pt idx="112">
                  <c:v>-0.23315109941627501</c:v>
                </c:pt>
                <c:pt idx="113">
                  <c:v>-0.299885468486356</c:v>
                </c:pt>
                <c:pt idx="114">
                  <c:v>-0.22890134421247901</c:v>
                </c:pt>
                <c:pt idx="115">
                  <c:v>-0.323358752503488</c:v>
                </c:pt>
                <c:pt idx="116">
                  <c:v>-0.115796511880102</c:v>
                </c:pt>
                <c:pt idx="117">
                  <c:v>-0.18250828192937402</c:v>
                </c:pt>
                <c:pt idx="118">
                  <c:v>1.9691505598563599E-2</c:v>
                </c:pt>
                <c:pt idx="119">
                  <c:v>-0.17504530433642698</c:v>
                </c:pt>
                <c:pt idx="120">
                  <c:v>-0.42852776019218802</c:v>
                </c:pt>
                <c:pt idx="121">
                  <c:v>-0.28081630240170896</c:v>
                </c:pt>
                <c:pt idx="122">
                  <c:v>-0.1</c:v>
                </c:pt>
              </c:numCache>
            </c:numRef>
          </c:val>
          <c:smooth val="0"/>
          <c:extLst>
            <c:ext xmlns:c16="http://schemas.microsoft.com/office/drawing/2014/chart" uri="{C3380CC4-5D6E-409C-BE32-E72D297353CC}">
              <c16:uniqueId val="{00000001-E52E-224C-BC0C-CEAD8D9D13D9}"/>
            </c:ext>
          </c:extLst>
        </c:ser>
        <c:ser>
          <c:idx val="0"/>
          <c:order val="1"/>
          <c:tx>
            <c:v>Baylee's Area-Weighted</c:v>
          </c:tx>
          <c:spPr>
            <a:ln w="28575" cap="rnd">
              <a:solidFill>
                <a:schemeClr val="accent1"/>
              </a:solidFill>
              <a:round/>
            </a:ln>
            <a:effectLst/>
          </c:spPr>
          <c:marker>
            <c:symbol val="none"/>
          </c:marker>
          <c:cat>
            <c:numRef>
              <c:f>'Baseflow '!$A$5:$A$129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'Baseflow '!$V$5:$V$129</c:f>
              <c:numCache>
                <c:formatCode>General</c:formatCode>
                <c:ptCount val="125"/>
                <c:pt idx="1">
                  <c:v>-7.9713087168744298E-2</c:v>
                </c:pt>
                <c:pt idx="2">
                  <c:v>-0.11587220678987746</c:v>
                </c:pt>
                <c:pt idx="3">
                  <c:v>-3.7800144816993925E-2</c:v>
                </c:pt>
                <c:pt idx="4">
                  <c:v>5.8426257543168249E-2</c:v>
                </c:pt>
                <c:pt idx="5">
                  <c:v>-3.9878364240901631E-2</c:v>
                </c:pt>
                <c:pt idx="6">
                  <c:v>0.41833571387319191</c:v>
                </c:pt>
                <c:pt idx="7">
                  <c:v>0.24560799127163016</c:v>
                </c:pt>
                <c:pt idx="8">
                  <c:v>0.55825630075905719</c:v>
                </c:pt>
                <c:pt idx="9">
                  <c:v>0.89701262417056238</c:v>
                </c:pt>
                <c:pt idx="10">
                  <c:v>0.41145002492061261</c:v>
                </c:pt>
                <c:pt idx="11">
                  <c:v>7.7513316502077836E-2</c:v>
                </c:pt>
                <c:pt idx="12">
                  <c:v>0.21268250964060267</c:v>
                </c:pt>
                <c:pt idx="13">
                  <c:v>0.24038971111997059</c:v>
                </c:pt>
                <c:pt idx="14">
                  <c:v>0.2135399720865227</c:v>
                </c:pt>
                <c:pt idx="15">
                  <c:v>4.3582965804780166E-3</c:v>
                </c:pt>
                <c:pt idx="16">
                  <c:v>3.2336681912133222E-2</c:v>
                </c:pt>
                <c:pt idx="17">
                  <c:v>0.22776677237918702</c:v>
                </c:pt>
                <c:pt idx="18">
                  <c:v>-1.0355253402108935E-2</c:v>
                </c:pt>
                <c:pt idx="19">
                  <c:v>2.2303985220173721E-2</c:v>
                </c:pt>
                <c:pt idx="20">
                  <c:v>0.30208873570456751</c:v>
                </c:pt>
                <c:pt idx="21">
                  <c:v>0.52635502735717221</c:v>
                </c:pt>
                <c:pt idx="22">
                  <c:v>0.48211905316478543</c:v>
                </c:pt>
                <c:pt idx="23">
                  <c:v>0.38846808546871059</c:v>
                </c:pt>
                <c:pt idx="24">
                  <c:v>9.986400043405351E-2</c:v>
                </c:pt>
                <c:pt idx="25">
                  <c:v>9.897313036752807E-2</c:v>
                </c:pt>
                <c:pt idx="26">
                  <c:v>6.6892712951847733E-2</c:v>
                </c:pt>
                <c:pt idx="27">
                  <c:v>9.8606201530504131E-2</c:v>
                </c:pt>
                <c:pt idx="28">
                  <c:v>-5.4726071992022111E-2</c:v>
                </c:pt>
                <c:pt idx="29">
                  <c:v>-8.8995333092196052E-2</c:v>
                </c:pt>
                <c:pt idx="30">
                  <c:v>-0.15744087160053169</c:v>
                </c:pt>
                <c:pt idx="31">
                  <c:v>-0.30885016731363263</c:v>
                </c:pt>
                <c:pt idx="32">
                  <c:v>-0.11137001558920079</c:v>
                </c:pt>
                <c:pt idx="33">
                  <c:v>-0.21711505198639425</c:v>
                </c:pt>
                <c:pt idx="34">
                  <c:v>-0.34441010494169566</c:v>
                </c:pt>
                <c:pt idx="35">
                  <c:v>-0.28258205232229189</c:v>
                </c:pt>
                <c:pt idx="36">
                  <c:v>-0.14278360499343901</c:v>
                </c:pt>
                <c:pt idx="37">
                  <c:v>-8.4871769335500502E-2</c:v>
                </c:pt>
                <c:pt idx="38">
                  <c:v>-0.10337008388693782</c:v>
                </c:pt>
                <c:pt idx="39">
                  <c:v>-0.28966977503863744</c:v>
                </c:pt>
                <c:pt idx="40">
                  <c:v>-0.34022100691586465</c:v>
                </c:pt>
                <c:pt idx="41">
                  <c:v>-0.22541424293309598</c:v>
                </c:pt>
                <c:pt idx="42">
                  <c:v>-0.17677906499856008</c:v>
                </c:pt>
                <c:pt idx="43">
                  <c:v>-0.11527934404970511</c:v>
                </c:pt>
                <c:pt idx="44">
                  <c:v>-0.16448679280964187</c:v>
                </c:pt>
                <c:pt idx="45">
                  <c:v>4.4984749969404117E-2</c:v>
                </c:pt>
                <c:pt idx="46">
                  <c:v>-3.3460735591762297E-2</c:v>
                </c:pt>
                <c:pt idx="47">
                  <c:v>-1.3546078392362158E-2</c:v>
                </c:pt>
                <c:pt idx="48">
                  <c:v>-5.0041081302509366E-2</c:v>
                </c:pt>
                <c:pt idx="49">
                  <c:v>4.9724748337930919E-2</c:v>
                </c:pt>
                <c:pt idx="50">
                  <c:v>0.16107752539220069</c:v>
                </c:pt>
                <c:pt idx="51">
                  <c:v>7.8586543215804883E-2</c:v>
                </c:pt>
                <c:pt idx="52">
                  <c:v>0.12378556176804228</c:v>
                </c:pt>
                <c:pt idx="53">
                  <c:v>-4.6357163043335176E-2</c:v>
                </c:pt>
                <c:pt idx="54">
                  <c:v>-0.21310714319030738</c:v>
                </c:pt>
                <c:pt idx="55">
                  <c:v>0.19989762283773202</c:v>
                </c:pt>
                <c:pt idx="56">
                  <c:v>-0.11933683943229893</c:v>
                </c:pt>
                <c:pt idx="57">
                  <c:v>-2.1901815806239129E-2</c:v>
                </c:pt>
                <c:pt idx="58">
                  <c:v>-0.10662457395608774</c:v>
                </c:pt>
                <c:pt idx="59">
                  <c:v>-0.19078646228443411</c:v>
                </c:pt>
                <c:pt idx="60">
                  <c:v>-0.27219699971416333</c:v>
                </c:pt>
                <c:pt idx="61">
                  <c:v>-0.27823401568995304</c:v>
                </c:pt>
                <c:pt idx="62">
                  <c:v>-0.21771538775194602</c:v>
                </c:pt>
                <c:pt idx="63">
                  <c:v>-0.23051225260804312</c:v>
                </c:pt>
                <c:pt idx="64">
                  <c:v>9.7503761873379127E-2</c:v>
                </c:pt>
                <c:pt idx="65">
                  <c:v>6.5877389365678538E-2</c:v>
                </c:pt>
                <c:pt idx="66">
                  <c:v>-8.8003735510032974E-2</c:v>
                </c:pt>
                <c:pt idx="67">
                  <c:v>-2.7374739540700119E-2</c:v>
                </c:pt>
                <c:pt idx="68">
                  <c:v>0.20607417699386396</c:v>
                </c:pt>
                <c:pt idx="69">
                  <c:v>5.7357370674520965E-2</c:v>
                </c:pt>
                <c:pt idx="70">
                  <c:v>0.54637216816532641</c:v>
                </c:pt>
                <c:pt idx="71">
                  <c:v>0.39186435078282877</c:v>
                </c:pt>
                <c:pt idx="72">
                  <c:v>0.18360191936387751</c:v>
                </c:pt>
                <c:pt idx="73">
                  <c:v>0.12193929633888044</c:v>
                </c:pt>
                <c:pt idx="74">
                  <c:v>5.3802515827180541E-2</c:v>
                </c:pt>
                <c:pt idx="75">
                  <c:v>0.130091623128432</c:v>
                </c:pt>
                <c:pt idx="76">
                  <c:v>-0.17794485986910366</c:v>
                </c:pt>
                <c:pt idx="77">
                  <c:v>-0.27103382147992017</c:v>
                </c:pt>
                <c:pt idx="78">
                  <c:v>-9.9249527026039647E-2</c:v>
                </c:pt>
                <c:pt idx="79">
                  <c:v>3.101470647098347E-2</c:v>
                </c:pt>
                <c:pt idx="80">
                  <c:v>-9.0233230983378473E-2</c:v>
                </c:pt>
                <c:pt idx="81">
                  <c:v>-8.8198861339931198E-2</c:v>
                </c:pt>
                <c:pt idx="82">
                  <c:v>0.45517463792119905</c:v>
                </c:pt>
                <c:pt idx="83">
                  <c:v>0.67330547989585288</c:v>
                </c:pt>
                <c:pt idx="84">
                  <c:v>0.43142392432357413</c:v>
                </c:pt>
                <c:pt idx="85">
                  <c:v>0.31511885660649891</c:v>
                </c:pt>
                <c:pt idx="86">
                  <c:v>0.31258876136992614</c:v>
                </c:pt>
                <c:pt idx="87">
                  <c:v>-0.12404604905000451</c:v>
                </c:pt>
                <c:pt idx="88">
                  <c:v>-0.19967238028228015</c:v>
                </c:pt>
                <c:pt idx="89">
                  <c:v>-0.17257064648026396</c:v>
                </c:pt>
                <c:pt idx="90">
                  <c:v>-0.34867988683125317</c:v>
                </c:pt>
                <c:pt idx="91">
                  <c:v>-0.20117079338950655</c:v>
                </c:pt>
                <c:pt idx="92">
                  <c:v>-0.35620343829433232</c:v>
                </c:pt>
                <c:pt idx="93">
                  <c:v>-0.11323194509602015</c:v>
                </c:pt>
                <c:pt idx="94">
                  <c:v>-0.15320469964598871</c:v>
                </c:pt>
                <c:pt idx="95">
                  <c:v>3.9342416453229563E-2</c:v>
                </c:pt>
                <c:pt idx="96">
                  <c:v>0.31594511989262769</c:v>
                </c:pt>
                <c:pt idx="97">
                  <c:v>0.19696794814350027</c:v>
                </c:pt>
                <c:pt idx="98">
                  <c:v>0.22644451337686322</c:v>
                </c:pt>
                <c:pt idx="99">
                  <c:v>0.13379596837498889</c:v>
                </c:pt>
                <c:pt idx="100">
                  <c:v>-0.18112693805811889</c:v>
                </c:pt>
                <c:pt idx="101">
                  <c:v>-0.28764852012434311</c:v>
                </c:pt>
                <c:pt idx="102">
                  <c:v>-0.23210390498610584</c:v>
                </c:pt>
                <c:pt idx="103">
                  <c:v>-0.25220540612003961</c:v>
                </c:pt>
                <c:pt idx="104">
                  <c:v>-0.10904896830188146</c:v>
                </c:pt>
                <c:pt idx="105">
                  <c:v>-1.3695385030431789E-3</c:v>
                </c:pt>
                <c:pt idx="106">
                  <c:v>-5.8290183524633638E-2</c:v>
                </c:pt>
                <c:pt idx="107">
                  <c:v>-0.2542173273059799</c:v>
                </c:pt>
                <c:pt idx="108">
                  <c:v>-0.1141042841479577</c:v>
                </c:pt>
                <c:pt idx="109">
                  <c:v>-0.16960477579763347</c:v>
                </c:pt>
                <c:pt idx="110">
                  <c:v>0.1054421233062149</c:v>
                </c:pt>
                <c:pt idx="111">
                  <c:v>0.25072693934167284</c:v>
                </c:pt>
                <c:pt idx="112">
                  <c:v>-0.22555788290627871</c:v>
                </c:pt>
                <c:pt idx="113">
                  <c:v>-0.29806229167591652</c:v>
                </c:pt>
                <c:pt idx="114">
                  <c:v>-0.16145144992509183</c:v>
                </c:pt>
                <c:pt idx="115">
                  <c:v>-0.28969273082603703</c:v>
                </c:pt>
                <c:pt idx="116">
                  <c:v>-1.1112213027958348E-2</c:v>
                </c:pt>
                <c:pt idx="117">
                  <c:v>6.2372129312850168E-2</c:v>
                </c:pt>
                <c:pt idx="118">
                  <c:v>-0.17502037435398532</c:v>
                </c:pt>
                <c:pt idx="119">
                  <c:v>-0.12354037295251453</c:v>
                </c:pt>
                <c:pt idx="120">
                  <c:v>-0.33092798143590907</c:v>
                </c:pt>
                <c:pt idx="121">
                  <c:v>-0.2036634617973323</c:v>
                </c:pt>
                <c:pt idx="122">
                  <c:v>-0.22932967268482751</c:v>
                </c:pt>
                <c:pt idx="123">
                  <c:v>-6.4541163914320979E-2</c:v>
                </c:pt>
                <c:pt idx="124">
                  <c:v>-0.17630893761357022</c:v>
                </c:pt>
              </c:numCache>
            </c:numRef>
          </c:val>
          <c:smooth val="0"/>
          <c:extLst>
            <c:ext xmlns:c16="http://schemas.microsoft.com/office/drawing/2014/chart" uri="{C3380CC4-5D6E-409C-BE32-E72D297353CC}">
              <c16:uniqueId val="{00000000-E52E-224C-BC0C-CEAD8D9D13D9}"/>
            </c:ext>
          </c:extLst>
        </c:ser>
        <c:dLbls>
          <c:showLegendKey val="0"/>
          <c:showVal val="0"/>
          <c:showCatName val="0"/>
          <c:showSerName val="0"/>
          <c:showPercent val="0"/>
          <c:showBubbleSize val="0"/>
        </c:dLbls>
        <c:smooth val="0"/>
        <c:axId val="2014578464"/>
        <c:axId val="2141403008"/>
      </c:lineChart>
      <c:catAx>
        <c:axId val="201457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03008"/>
        <c:crosses val="autoZero"/>
        <c:auto val="1"/>
        <c:lblAlgn val="ctr"/>
        <c:lblOffset val="100"/>
        <c:noMultiLvlLbl val="0"/>
      </c:catAx>
      <c:valAx>
        <c:axId val="214140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Deviation from 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78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STDEV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'Baseflow '!$A$5:$A$129</c:f>
              <c:numCache>
                <c:formatCode>General</c:formatCode>
                <c:ptCount val="125"/>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pt idx="117">
                  <c:v>2018</c:v>
                </c:pt>
                <c:pt idx="118">
                  <c:v>2019</c:v>
                </c:pt>
                <c:pt idx="119">
                  <c:v>2020</c:v>
                </c:pt>
                <c:pt idx="120">
                  <c:v>2021</c:v>
                </c:pt>
                <c:pt idx="121">
                  <c:v>2022</c:v>
                </c:pt>
                <c:pt idx="122">
                  <c:v>2023</c:v>
                </c:pt>
                <c:pt idx="123">
                  <c:v>2024</c:v>
                </c:pt>
                <c:pt idx="124">
                  <c:v>2025</c:v>
                </c:pt>
              </c:numCache>
            </c:numRef>
          </c:cat>
          <c:val>
            <c:numRef>
              <c:f>'Baseflow '!$AA$6:$AA$129</c:f>
              <c:numCache>
                <c:formatCode>General</c:formatCode>
                <c:ptCount val="124"/>
                <c:pt idx="0">
                  <c:v>0.17777453474530591</c:v>
                </c:pt>
                <c:pt idx="1">
                  <c:v>0.14655108193536989</c:v>
                </c:pt>
                <c:pt idx="2">
                  <c:v>0.1831182807715141</c:v>
                </c:pt>
                <c:pt idx="3">
                  <c:v>0.16550494323009934</c:v>
                </c:pt>
                <c:pt idx="4">
                  <c:v>0.16743856995512382</c:v>
                </c:pt>
                <c:pt idx="5">
                  <c:v>0.29434100691524723</c:v>
                </c:pt>
                <c:pt idx="6">
                  <c:v>0.21382535940787012</c:v>
                </c:pt>
                <c:pt idx="7">
                  <c:v>0.23956922475528275</c:v>
                </c:pt>
                <c:pt idx="8">
                  <c:v>0.29467531106964046</c:v>
                </c:pt>
                <c:pt idx="9">
                  <c:v>0.24579703958845889</c:v>
                </c:pt>
                <c:pt idx="10">
                  <c:v>0.18187192095962529</c:v>
                </c:pt>
                <c:pt idx="11">
                  <c:v>0.18038656886964072</c:v>
                </c:pt>
                <c:pt idx="12">
                  <c:v>0.14146260897500135</c:v>
                </c:pt>
                <c:pt idx="13">
                  <c:v>0.13227791159971081</c:v>
                </c:pt>
                <c:pt idx="14">
                  <c:v>0.13067198513467662</c:v>
                </c:pt>
                <c:pt idx="15">
                  <c:v>0.15726379485376671</c:v>
                </c:pt>
                <c:pt idx="16">
                  <c:v>0.16284658847474268</c:v>
                </c:pt>
                <c:pt idx="17">
                  <c:v>0.11538516345071188</c:v>
                </c:pt>
                <c:pt idx="18">
                  <c:v>0.16600841206716774</c:v>
                </c:pt>
                <c:pt idx="19">
                  <c:v>0.18084396539055586</c:v>
                </c:pt>
                <c:pt idx="20">
                  <c:v>0.12700377631211843</c:v>
                </c:pt>
                <c:pt idx="21">
                  <c:v>0.12622977493033619</c:v>
                </c:pt>
                <c:pt idx="22">
                  <c:v>0.14862948256387803</c:v>
                </c:pt>
                <c:pt idx="23">
                  <c:v>0.12477660922544208</c:v>
                </c:pt>
                <c:pt idx="24">
                  <c:v>0.1363981649519537</c:v>
                </c:pt>
                <c:pt idx="25">
                  <c:v>0.12480020088554901</c:v>
                </c:pt>
                <c:pt idx="26">
                  <c:v>0.1852774787067753</c:v>
                </c:pt>
                <c:pt idx="27">
                  <c:v>0.13439646382436135</c:v>
                </c:pt>
                <c:pt idx="28">
                  <c:v>0.12599681485666245</c:v>
                </c:pt>
                <c:pt idx="29">
                  <c:v>0.13121498343729879</c:v>
                </c:pt>
                <c:pt idx="30">
                  <c:v>0.11061497995874651</c:v>
                </c:pt>
                <c:pt idx="31">
                  <c:v>0.15126030426655704</c:v>
                </c:pt>
                <c:pt idx="32">
                  <c:v>0.11859135061031652</c:v>
                </c:pt>
                <c:pt idx="33">
                  <c:v>0.11918171918607413</c:v>
                </c:pt>
                <c:pt idx="34">
                  <c:v>0.11743665557709457</c:v>
                </c:pt>
                <c:pt idx="35">
                  <c:v>0.13893578778418456</c:v>
                </c:pt>
                <c:pt idx="36">
                  <c:v>0.15216732234850808</c:v>
                </c:pt>
                <c:pt idx="37">
                  <c:v>0.14644185730898659</c:v>
                </c:pt>
                <c:pt idx="38">
                  <c:v>0.12134094417914643</c:v>
                </c:pt>
                <c:pt idx="39">
                  <c:v>0.1327754777160762</c:v>
                </c:pt>
                <c:pt idx="40">
                  <c:v>0.18476611079369207</c:v>
                </c:pt>
                <c:pt idx="41">
                  <c:v>0.13959433290519888</c:v>
                </c:pt>
                <c:pt idx="42">
                  <c:v>0.14133193205957043</c:v>
                </c:pt>
                <c:pt idx="43">
                  <c:v>0.12500062978141974</c:v>
                </c:pt>
                <c:pt idx="44">
                  <c:v>0.14590429643544345</c:v>
                </c:pt>
                <c:pt idx="45">
                  <c:v>0.1492032983339816</c:v>
                </c:pt>
                <c:pt idx="46">
                  <c:v>0.15184061291844317</c:v>
                </c:pt>
                <c:pt idx="47">
                  <c:v>0.13471440735940801</c:v>
                </c:pt>
                <c:pt idx="48">
                  <c:v>0.14663945851152332</c:v>
                </c:pt>
                <c:pt idx="49">
                  <c:v>0.14791774257694229</c:v>
                </c:pt>
                <c:pt idx="50">
                  <c:v>0.13578817423214173</c:v>
                </c:pt>
                <c:pt idx="51">
                  <c:v>0.13959952759886443</c:v>
                </c:pt>
                <c:pt idx="52">
                  <c:v>0.14544592627400627</c:v>
                </c:pt>
                <c:pt idx="53">
                  <c:v>0.12399610710163826</c:v>
                </c:pt>
                <c:pt idx="54">
                  <c:v>0.17995466455944514</c:v>
                </c:pt>
                <c:pt idx="55">
                  <c:v>0.13126182241302575</c:v>
                </c:pt>
                <c:pt idx="56">
                  <c:v>0.11808788501831601</c:v>
                </c:pt>
                <c:pt idx="57">
                  <c:v>0.13056268811313038</c:v>
                </c:pt>
                <c:pt idx="58">
                  <c:v>0.12967302967433506</c:v>
                </c:pt>
                <c:pt idx="59">
                  <c:v>0.12166878856504611</c:v>
                </c:pt>
                <c:pt idx="60">
                  <c:v>0.12657273474966732</c:v>
                </c:pt>
                <c:pt idx="61">
                  <c:v>0.12169294032980275</c:v>
                </c:pt>
                <c:pt idx="62">
                  <c:v>0.13190886904797408</c:v>
                </c:pt>
                <c:pt idx="63">
                  <c:v>0.14841413461494277</c:v>
                </c:pt>
                <c:pt idx="64">
                  <c:v>0.14138499385126674</c:v>
                </c:pt>
                <c:pt idx="65">
                  <c:v>0.11073287297344743</c:v>
                </c:pt>
                <c:pt idx="66">
                  <c:v>0.13322763780630431</c:v>
                </c:pt>
                <c:pt idx="67">
                  <c:v>0.22588594330601455</c:v>
                </c:pt>
                <c:pt idx="68">
                  <c:v>0.14664836374395893</c:v>
                </c:pt>
                <c:pt idx="69">
                  <c:v>0.20380473199235524</c:v>
                </c:pt>
                <c:pt idx="70">
                  <c:v>0.17091198609971522</c:v>
                </c:pt>
                <c:pt idx="71">
                  <c:v>0.15190649212967447</c:v>
                </c:pt>
                <c:pt idx="72">
                  <c:v>0.15601187845573633</c:v>
                </c:pt>
                <c:pt idx="73">
                  <c:v>0.14849114885658243</c:v>
                </c:pt>
                <c:pt idx="74">
                  <c:v>0.15490616825470505</c:v>
                </c:pt>
                <c:pt idx="75">
                  <c:v>0.13355100417199592</c:v>
                </c:pt>
                <c:pt idx="76">
                  <c:v>0.12731229086825574</c:v>
                </c:pt>
                <c:pt idx="77">
                  <c:v>0.15137045543584457</c:v>
                </c:pt>
                <c:pt idx="78">
                  <c:v>0.1983514375610046</c:v>
                </c:pt>
                <c:pt idx="79">
                  <c:v>0.13755889234579141</c:v>
                </c:pt>
                <c:pt idx="80">
                  <c:v>0.16343638624750878</c:v>
                </c:pt>
                <c:pt idx="81">
                  <c:v>0.21282701923537228</c:v>
                </c:pt>
                <c:pt idx="82">
                  <c:v>0.18400571453213704</c:v>
                </c:pt>
                <c:pt idx="83">
                  <c:v>0.18437097541026665</c:v>
                </c:pt>
                <c:pt idx="84">
                  <c:v>0.19025454269514497</c:v>
                </c:pt>
                <c:pt idx="85">
                  <c:v>0.15543638735307269</c:v>
                </c:pt>
                <c:pt idx="86">
                  <c:v>0.12439659013812993</c:v>
                </c:pt>
                <c:pt idx="87">
                  <c:v>0.10632625217898324</c:v>
                </c:pt>
                <c:pt idx="88">
                  <c:v>0.12603122221204502</c:v>
                </c:pt>
                <c:pt idx="89">
                  <c:v>0.11540595558484387</c:v>
                </c:pt>
                <c:pt idx="90">
                  <c:v>0.1451757262946238</c:v>
                </c:pt>
                <c:pt idx="91">
                  <c:v>0.12120161375480758</c:v>
                </c:pt>
                <c:pt idx="92">
                  <c:v>0.13149015971450687</c:v>
                </c:pt>
                <c:pt idx="93">
                  <c:v>0.14117141778602699</c:v>
                </c:pt>
                <c:pt idx="94">
                  <c:v>0.15403091234097688</c:v>
                </c:pt>
                <c:pt idx="95">
                  <c:v>0.18415114706109986</c:v>
                </c:pt>
                <c:pt idx="96">
                  <c:v>0.17548444013880232</c:v>
                </c:pt>
                <c:pt idx="97">
                  <c:v>0.1307466324817427</c:v>
                </c:pt>
                <c:pt idx="98">
                  <c:v>0.15039613925561979</c:v>
                </c:pt>
                <c:pt idx="99">
                  <c:v>0.14486492219276059</c:v>
                </c:pt>
                <c:pt idx="100">
                  <c:v>0.13104494518505455</c:v>
                </c:pt>
                <c:pt idx="101">
                  <c:v>0.12207470575206338</c:v>
                </c:pt>
                <c:pt idx="102">
                  <c:v>0.15208670857737594</c:v>
                </c:pt>
                <c:pt idx="103">
                  <c:v>0.16223461293351049</c:v>
                </c:pt>
                <c:pt idx="104">
                  <c:v>0.15798378006859723</c:v>
                </c:pt>
                <c:pt idx="105">
                  <c:v>0.19339250668832592</c:v>
                </c:pt>
                <c:pt idx="106">
                  <c:v>0.13559629760794104</c:v>
                </c:pt>
                <c:pt idx="107">
                  <c:v>0.16746210669167583</c:v>
                </c:pt>
                <c:pt idx="108">
                  <c:v>0.13737141364037753</c:v>
                </c:pt>
                <c:pt idx="109">
                  <c:v>0.19587106320810005</c:v>
                </c:pt>
                <c:pt idx="110">
                  <c:v>0.18994161977846402</c:v>
                </c:pt>
                <c:pt idx="111">
                  <c:v>0.14243048055649743</c:v>
                </c:pt>
                <c:pt idx="112">
                  <c:v>0.11690469942007659</c:v>
                </c:pt>
                <c:pt idx="113">
                  <c:v>0.130554091852706</c:v>
                </c:pt>
                <c:pt idx="114">
                  <c:v>0.10773347935413655</c:v>
                </c:pt>
                <c:pt idx="115">
                  <c:v>0.14746356975579789</c:v>
                </c:pt>
                <c:pt idx="116">
                  <c:v>0.14941084231053633</c:v>
                </c:pt>
                <c:pt idx="117">
                  <c:v>0.14853512439634892</c:v>
                </c:pt>
                <c:pt idx="118">
                  <c:v>0.12974819543316288</c:v>
                </c:pt>
                <c:pt idx="119">
                  <c:v>0.11162588171196849</c:v>
                </c:pt>
                <c:pt idx="120">
                  <c:v>0.14447472422286897</c:v>
                </c:pt>
                <c:pt idx="121">
                  <c:v>0.1315098879242067</c:v>
                </c:pt>
                <c:pt idx="122">
                  <c:v>0.14345737290475463</c:v>
                </c:pt>
                <c:pt idx="123">
                  <c:v>0.13276289339774294</c:v>
                </c:pt>
              </c:numCache>
            </c:numRef>
          </c:val>
          <c:smooth val="0"/>
          <c:extLst>
            <c:ext xmlns:c16="http://schemas.microsoft.com/office/drawing/2014/chart" uri="{C3380CC4-5D6E-409C-BE32-E72D297353CC}">
              <c16:uniqueId val="{00000000-0593-0A43-B19C-E2B36C6C750F}"/>
            </c:ext>
          </c:extLst>
        </c:ser>
        <c:dLbls>
          <c:showLegendKey val="0"/>
          <c:showVal val="0"/>
          <c:showCatName val="0"/>
          <c:showSerName val="0"/>
          <c:showPercent val="0"/>
          <c:showBubbleSize val="0"/>
        </c:dLbls>
        <c:smooth val="0"/>
        <c:axId val="1331254783"/>
        <c:axId val="1331516255"/>
      </c:lineChart>
      <c:catAx>
        <c:axId val="133125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16255"/>
        <c:crosses val="autoZero"/>
        <c:auto val="1"/>
        <c:lblAlgn val="ctr"/>
        <c:lblOffset val="100"/>
        <c:noMultiLvlLbl val="0"/>
      </c:catAx>
      <c:valAx>
        <c:axId val="133151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25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JCC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JCC</a:t>
          </a:r>
        </a:p>
      </cx:txPr>
    </cx:title>
    <cx:plotArea>
      <cx:plotAreaRegion>
        <cx:series layoutId="clusteredColumn" uniqueId="{DF82891B-4973-CA46-B366-7AEF1D98A86D}">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JRB</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JRB</a:t>
          </a:r>
        </a:p>
      </cx:txPr>
    </cx:title>
    <cx:plotArea>
      <cx:plotAreaRegion>
        <cx:series layoutId="clusteredColumn" uniqueId="{0E91E94E-5034-894F-BCCE-0BBF63344799}">
          <cx:tx>
            <cx:txData>
              <cx:f>_xlchart.v1.1</cx:f>
              <cx:v>NaN NaN NaN NaN NaN NaN NaN NaN NaN NaN NaN NaN NaN NaN NaN NaN NaN NaN NaN NaN NaN NaN NaN NaN NaN NaN NaN NaN NaN NaN NaN NaN NaN NaN NaN NaN NaN NaN NaN NaN NaN NaN NaN NaN NaN NaN NaN NaN NaN NaN NaN NaN NaN NaN NaN NaN NaN NaN NaN NaN NaN NaN NaN</cx:v>
            </cx:txData>
          </cx:tx>
          <cx:dataId val="0"/>
          <cx:layoutPr>
            <cx:binning intervalClosed="r">
              <cx:binCount val="8"/>
            </cx:binning>
          </cx:layoutPr>
        </cx:series>
      </cx:plotAreaRegion>
      <cx:axis id="0">
        <cx:catScaling gapWidth="0"/>
        <cx:tickLabels/>
        <cx:numFmt formatCode="#,##0" sourceLinked="0"/>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JEC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JEC</a:t>
          </a:r>
        </a:p>
      </cx:txPr>
    </cx:title>
    <cx:plotArea>
      <cx:plotAreaRegion>
        <cx:series layoutId="clusteredColumn" uniqueId="{66A25A35-9E19-9F4B-9910-AD5091D03C25}">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JPC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JPC</a:t>
          </a:r>
        </a:p>
      </cx:txPr>
    </cx:title>
    <cx:plotArea>
      <cx:plotAreaRegion>
        <cx:series layoutId="clusteredColumn" uniqueId="{7A987B5D-AA15-4748-BFF7-D700667434EC}">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JMC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JMC</a:t>
          </a:r>
        </a:p>
      </cx:txPr>
    </cx:title>
    <cx:plotArea>
      <cx:plotAreaRegion>
        <cx:series layoutId="clusteredColumn" uniqueId="{3C7C19D1-67BC-0948-9AFA-80C044FBDAA8}">
          <cx:dataId val="0"/>
          <cx:layoutPr>
            <cx:binning intervalClosed="r"/>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JBC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JBC</a:t>
          </a:r>
        </a:p>
      </cx:txPr>
    </cx:title>
    <cx:plotArea>
      <cx:plotAreaRegion>
        <cx:series layoutId="clusteredColumn" uniqueId="{D277A952-6272-5C46-AF43-931FBD286EC1}">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JLC</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JLC</a:t>
          </a:r>
        </a:p>
      </cx:txPr>
    </cx:title>
    <cx:plotArea>
      <cx:plotAreaRegion>
        <cx:series layoutId="clusteredColumn" uniqueId="{F181C7FA-FEAF-5141-98C9-98299235E369}" formatIdx="0">
          <cx:tx>
            <cx:txData>
              <cx:f>_xlchart.v1.8</cx:f>
              <cx:v>NaN NaN NaN NaN NaN NaN NaN NaN</cx:v>
            </cx:txData>
          </cx:tx>
          <cx:dataId val="0"/>
          <cx:layoutPr>
            <cx:binning intervalClosed="r"/>
          </cx:layoutPr>
        </cx:series>
      </cx:plotAreaRegion>
      <cx:axis id="0">
        <cx:catScaling gapWidth="0"/>
        <cx:tickLabels/>
        <cx:numFmt formatCode="#,##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10.xml"/><Relationship Id="rId7" Type="http://schemas.microsoft.com/office/2014/relationships/chartEx" Target="../charts/chartEx4.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3.xml"/><Relationship Id="rId5" Type="http://schemas.microsoft.com/office/2014/relationships/chartEx" Target="../charts/chartEx2.xml"/><Relationship Id="rId10" Type="http://schemas.microsoft.com/office/2014/relationships/chartEx" Target="../charts/chartEx7.xml"/><Relationship Id="rId4" Type="http://schemas.microsoft.com/office/2014/relationships/chartEx" Target="../charts/chartEx1.xml"/><Relationship Id="rId9" Type="http://schemas.microsoft.com/office/2014/relationships/chartEx" Target="../charts/chartEx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779411</xdr:colOff>
      <xdr:row>3</xdr:row>
      <xdr:rowOff>54855</xdr:rowOff>
    </xdr:from>
    <xdr:to>
      <xdr:col>17</xdr:col>
      <xdr:colOff>742771</xdr:colOff>
      <xdr:row>19</xdr:row>
      <xdr:rowOff>162805</xdr:rowOff>
    </xdr:to>
    <xdr:graphicFrame macro="">
      <xdr:nvGraphicFramePr>
        <xdr:cNvPr id="6" name="Chart 5">
          <a:extLst>
            <a:ext uri="{FF2B5EF4-FFF2-40B4-BE49-F238E27FC236}">
              <a16:creationId xmlns:a16="http://schemas.microsoft.com/office/drawing/2014/main" id="{F5F10702-02CA-D945-B992-F792213E8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779411</xdr:colOff>
      <xdr:row>19</xdr:row>
      <xdr:rowOff>156455</xdr:rowOff>
    </xdr:from>
    <xdr:to>
      <xdr:col>17</xdr:col>
      <xdr:colOff>736421</xdr:colOff>
      <xdr:row>36</xdr:row>
      <xdr:rowOff>65489</xdr:rowOff>
    </xdr:to>
    <xdr:graphicFrame macro="">
      <xdr:nvGraphicFramePr>
        <xdr:cNvPr id="7" name="Chart 6">
          <a:extLst>
            <a:ext uri="{FF2B5EF4-FFF2-40B4-BE49-F238E27FC236}">
              <a16:creationId xmlns:a16="http://schemas.microsoft.com/office/drawing/2014/main" id="{B2BAAC3B-29B9-7B44-8767-FFE9B8609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742149</xdr:colOff>
      <xdr:row>3</xdr:row>
      <xdr:rowOff>50147</xdr:rowOff>
    </xdr:from>
    <xdr:to>
      <xdr:col>26</xdr:col>
      <xdr:colOff>87590</xdr:colOff>
      <xdr:row>19</xdr:row>
      <xdr:rowOff>157744</xdr:rowOff>
    </xdr:to>
    <xdr:graphicFrame macro="">
      <xdr:nvGraphicFramePr>
        <xdr:cNvPr id="8" name="Chart 7">
          <a:extLst>
            <a:ext uri="{FF2B5EF4-FFF2-40B4-BE49-F238E27FC236}">
              <a16:creationId xmlns:a16="http://schemas.microsoft.com/office/drawing/2014/main" id="{13EBB99A-7D30-7142-8950-0AAD90BA2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739108</xdr:colOff>
      <xdr:row>19</xdr:row>
      <xdr:rowOff>150202</xdr:rowOff>
    </xdr:from>
    <xdr:to>
      <xdr:col>26</xdr:col>
      <xdr:colOff>64025</xdr:colOff>
      <xdr:row>36</xdr:row>
      <xdr:rowOff>60404</xdr:rowOff>
    </xdr:to>
    <xdr:graphicFrame macro="">
      <xdr:nvGraphicFramePr>
        <xdr:cNvPr id="9" name="Chart 8">
          <a:extLst>
            <a:ext uri="{FF2B5EF4-FFF2-40B4-BE49-F238E27FC236}">
              <a16:creationId xmlns:a16="http://schemas.microsoft.com/office/drawing/2014/main" id="{74A65962-303D-5741-B392-946EBC779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516468</xdr:colOff>
      <xdr:row>14</xdr:row>
      <xdr:rowOff>71966</xdr:rowOff>
    </xdr:from>
    <xdr:to>
      <xdr:col>16</xdr:col>
      <xdr:colOff>461434</xdr:colOff>
      <xdr:row>41</xdr:row>
      <xdr:rowOff>21166</xdr:rowOff>
    </xdr:to>
    <xdr:graphicFrame macro="">
      <xdr:nvGraphicFramePr>
        <xdr:cNvPr id="2" name="Chart 1">
          <a:extLst>
            <a:ext uri="{FF2B5EF4-FFF2-40B4-BE49-F238E27FC236}">
              <a16:creationId xmlns:a16="http://schemas.microsoft.com/office/drawing/2014/main" id="{9BFF6CE2-2116-0BFD-F8ED-8CBBF72E4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107829</xdr:colOff>
      <xdr:row>11</xdr:row>
      <xdr:rowOff>119810</xdr:rowOff>
    </xdr:from>
    <xdr:to>
      <xdr:col>16</xdr:col>
      <xdr:colOff>133787</xdr:colOff>
      <xdr:row>38</xdr:row>
      <xdr:rowOff>56071</xdr:rowOff>
    </xdr:to>
    <xdr:graphicFrame macro="">
      <xdr:nvGraphicFramePr>
        <xdr:cNvPr id="8" name="Chart 7">
          <a:extLst>
            <a:ext uri="{FF2B5EF4-FFF2-40B4-BE49-F238E27FC236}">
              <a16:creationId xmlns:a16="http://schemas.microsoft.com/office/drawing/2014/main" id="{E3FE5DC3-B52E-5D4B-81CC-4BC5B7A84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8</xdr:row>
      <xdr:rowOff>63500</xdr:rowOff>
    </xdr:from>
    <xdr:to>
      <xdr:col>16</xdr:col>
      <xdr:colOff>139700</xdr:colOff>
      <xdr:row>35</xdr:row>
      <xdr:rowOff>12700</xdr:rowOff>
    </xdr:to>
    <xdr:graphicFrame macro="">
      <xdr:nvGraphicFramePr>
        <xdr:cNvPr id="2" name="Chart 1">
          <a:extLst>
            <a:ext uri="{FF2B5EF4-FFF2-40B4-BE49-F238E27FC236}">
              <a16:creationId xmlns:a16="http://schemas.microsoft.com/office/drawing/2014/main" id="{E9043B40-722F-6A47-9497-06930E88C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541718</xdr:colOff>
      <xdr:row>19</xdr:row>
      <xdr:rowOff>54875</xdr:rowOff>
    </xdr:from>
    <xdr:to>
      <xdr:col>18</xdr:col>
      <xdr:colOff>527049</xdr:colOff>
      <xdr:row>44</xdr:row>
      <xdr:rowOff>79087</xdr:rowOff>
    </xdr:to>
    <xdr:graphicFrame macro="">
      <xdr:nvGraphicFramePr>
        <xdr:cNvPr id="2" name="Chart 1">
          <a:extLst>
            <a:ext uri="{FF2B5EF4-FFF2-40B4-BE49-F238E27FC236}">
              <a16:creationId xmlns:a16="http://schemas.microsoft.com/office/drawing/2014/main" id="{1A3948DF-02F3-0689-9507-A2F652A43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326422</xdr:colOff>
      <xdr:row>44</xdr:row>
      <xdr:rowOff>11270</xdr:rowOff>
    </xdr:from>
    <xdr:to>
      <xdr:col>13</xdr:col>
      <xdr:colOff>732465</xdr:colOff>
      <xdr:row>57</xdr:row>
      <xdr:rowOff>97430</xdr:rowOff>
    </xdr:to>
    <xdr:graphicFrame macro="">
      <xdr:nvGraphicFramePr>
        <xdr:cNvPr id="3" name="Chart 2">
          <a:extLst>
            <a:ext uri="{FF2B5EF4-FFF2-40B4-BE49-F238E27FC236}">
              <a16:creationId xmlns:a16="http://schemas.microsoft.com/office/drawing/2014/main" id="{94FA93AC-9384-0A91-B87C-1722D2855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739588</xdr:colOff>
      <xdr:row>44</xdr:row>
      <xdr:rowOff>19796</xdr:rowOff>
    </xdr:from>
    <xdr:to>
      <xdr:col>18</xdr:col>
      <xdr:colOff>885264</xdr:colOff>
      <xdr:row>57</xdr:row>
      <xdr:rowOff>92261</xdr:rowOff>
    </xdr:to>
    <xdr:graphicFrame macro="">
      <xdr:nvGraphicFramePr>
        <xdr:cNvPr id="5" name="Chart 4">
          <a:extLst>
            <a:ext uri="{FF2B5EF4-FFF2-40B4-BE49-F238E27FC236}">
              <a16:creationId xmlns:a16="http://schemas.microsoft.com/office/drawing/2014/main" id="{2B4AD621-93CB-AA5D-B198-B26368687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343273</xdr:colOff>
      <xdr:row>134</xdr:row>
      <xdr:rowOff>113180</xdr:rowOff>
    </xdr:from>
    <xdr:to>
      <xdr:col>5</xdr:col>
      <xdr:colOff>804209</xdr:colOff>
      <xdr:row>147</xdr:row>
      <xdr:rowOff>185645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A7A7644-C0A0-493D-E9C2-B1F13E8142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3273" y="26661260"/>
              <a:ext cx="4590976" cy="2648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147</xdr:row>
      <xdr:rowOff>160866</xdr:rowOff>
    </xdr:from>
    <xdr:to>
      <xdr:col>6</xdr:col>
      <xdr:colOff>406400</xdr:colOff>
      <xdr:row>161</xdr:row>
      <xdr:rowOff>59266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93464A73-55BE-0A29-4B94-8848429C67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2960" y="29284506"/>
              <a:ext cx="4536440" cy="2672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800971</xdr:colOff>
      <xdr:row>134</xdr:row>
      <xdr:rowOff>68107</xdr:rowOff>
    </xdr:from>
    <xdr:to>
      <xdr:col>11</xdr:col>
      <xdr:colOff>415241</xdr:colOff>
      <xdr:row>147</xdr:row>
      <xdr:rowOff>140572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B80F5BB-0BBD-2E48-B230-BA79CB309C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31011" y="26616187"/>
              <a:ext cx="4552030" cy="2648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381001</xdr:colOff>
      <xdr:row>147</xdr:row>
      <xdr:rowOff>152400</xdr:rowOff>
    </xdr:from>
    <xdr:to>
      <xdr:col>11</xdr:col>
      <xdr:colOff>833471</xdr:colOff>
      <xdr:row>161</xdr:row>
      <xdr:rowOff>21665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2349F4B-058E-C648-9D51-50C679E44D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334001" y="29276040"/>
              <a:ext cx="4559650" cy="26429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355601</xdr:colOff>
      <xdr:row>134</xdr:row>
      <xdr:rowOff>67734</xdr:rowOff>
    </xdr:from>
    <xdr:to>
      <xdr:col>16</xdr:col>
      <xdr:colOff>808071</xdr:colOff>
      <xdr:row>147</xdr:row>
      <xdr:rowOff>140199</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99177100-89F8-2442-977A-69C56F17DB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423401" y="26615814"/>
              <a:ext cx="4567270" cy="2648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829735</xdr:colOff>
      <xdr:row>147</xdr:row>
      <xdr:rowOff>143934</xdr:rowOff>
    </xdr:from>
    <xdr:to>
      <xdr:col>17</xdr:col>
      <xdr:colOff>444005</xdr:colOff>
      <xdr:row>161</xdr:row>
      <xdr:rowOff>13199</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843B9A9-FDBA-C14F-9D04-EDB6235996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89915" y="29267574"/>
              <a:ext cx="4559650" cy="26429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795869</xdr:colOff>
      <xdr:row>134</xdr:row>
      <xdr:rowOff>59268</xdr:rowOff>
    </xdr:from>
    <xdr:to>
      <xdr:col>19</xdr:col>
      <xdr:colOff>918139</xdr:colOff>
      <xdr:row>147</xdr:row>
      <xdr:rowOff>131733</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381C96E-B6ED-4948-B235-6E489228AA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78469" y="26607348"/>
              <a:ext cx="4610450" cy="2648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413133</xdr:colOff>
      <xdr:row>142</xdr:row>
      <xdr:rowOff>168313</xdr:rowOff>
    </xdr:from>
    <xdr:to>
      <xdr:col>1</xdr:col>
      <xdr:colOff>413133</xdr:colOff>
      <xdr:row>145</xdr:row>
      <xdr:rowOff>153012</xdr:rowOff>
    </xdr:to>
    <xdr:cxnSp macro="">
      <xdr:nvCxnSpPr>
        <xdr:cNvPr id="16" name="Straight Connector 15">
          <a:extLst>
            <a:ext uri="{FF2B5EF4-FFF2-40B4-BE49-F238E27FC236}">
              <a16:creationId xmlns:a16="http://schemas.microsoft.com/office/drawing/2014/main" id="{0B8545B8-5EDA-A5E3-5EE6-D7954E3D574C}"/>
            </a:ext>
          </a:extLst>
        </xdr:cNvPr>
        <xdr:cNvCxnSpPr/>
      </xdr:nvCxnSpPr>
      <xdr:spPr>
        <a:xfrm>
          <a:off x="1239398" y="28414337"/>
          <a:ext cx="0" cy="581446"/>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638354</xdr:colOff>
      <xdr:row>150</xdr:row>
      <xdr:rowOff>105010</xdr:rowOff>
    </xdr:from>
    <xdr:to>
      <xdr:col>1</xdr:col>
      <xdr:colOff>638354</xdr:colOff>
      <xdr:row>153</xdr:row>
      <xdr:rowOff>89709</xdr:rowOff>
    </xdr:to>
    <xdr:cxnSp macro="">
      <xdr:nvCxnSpPr>
        <xdr:cNvPr id="17" name="Straight Connector 16">
          <a:extLst>
            <a:ext uri="{FF2B5EF4-FFF2-40B4-BE49-F238E27FC236}">
              <a16:creationId xmlns:a16="http://schemas.microsoft.com/office/drawing/2014/main" id="{3ACD578E-5AC0-C242-BB94-5FF8F30FD288}"/>
            </a:ext>
          </a:extLst>
        </xdr:cNvPr>
        <xdr:cNvCxnSpPr/>
      </xdr:nvCxnSpPr>
      <xdr:spPr>
        <a:xfrm>
          <a:off x="1466615" y="30474575"/>
          <a:ext cx="0" cy="592091"/>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358954</xdr:colOff>
      <xdr:row>150</xdr:row>
      <xdr:rowOff>3410</xdr:rowOff>
    </xdr:from>
    <xdr:to>
      <xdr:col>7</xdr:col>
      <xdr:colOff>358954</xdr:colOff>
      <xdr:row>152</xdr:row>
      <xdr:rowOff>191308</xdr:rowOff>
    </xdr:to>
    <xdr:cxnSp macro="">
      <xdr:nvCxnSpPr>
        <xdr:cNvPr id="18" name="Straight Connector 17">
          <a:extLst>
            <a:ext uri="{FF2B5EF4-FFF2-40B4-BE49-F238E27FC236}">
              <a16:creationId xmlns:a16="http://schemas.microsoft.com/office/drawing/2014/main" id="{2F1056ED-454B-2B41-B324-4435B509975A}"/>
            </a:ext>
          </a:extLst>
        </xdr:cNvPr>
        <xdr:cNvCxnSpPr/>
      </xdr:nvCxnSpPr>
      <xdr:spPr>
        <a:xfrm>
          <a:off x="6150154" y="30483410"/>
          <a:ext cx="0" cy="594298"/>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425215</xdr:colOff>
      <xdr:row>136</xdr:row>
      <xdr:rowOff>96175</xdr:rowOff>
    </xdr:from>
    <xdr:to>
      <xdr:col>6</xdr:col>
      <xdr:colOff>425215</xdr:colOff>
      <xdr:row>139</xdr:row>
      <xdr:rowOff>80873</xdr:rowOff>
    </xdr:to>
    <xdr:cxnSp macro="">
      <xdr:nvCxnSpPr>
        <xdr:cNvPr id="19" name="Straight Connector 18">
          <a:extLst>
            <a:ext uri="{FF2B5EF4-FFF2-40B4-BE49-F238E27FC236}">
              <a16:creationId xmlns:a16="http://schemas.microsoft.com/office/drawing/2014/main" id="{EB491E87-1C91-AE4C-BD0E-8BA966852C27}"/>
            </a:ext>
          </a:extLst>
        </xdr:cNvPr>
        <xdr:cNvCxnSpPr/>
      </xdr:nvCxnSpPr>
      <xdr:spPr>
        <a:xfrm>
          <a:off x="5390915" y="27731375"/>
          <a:ext cx="0" cy="594298"/>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333554</xdr:colOff>
      <xdr:row>136</xdr:row>
      <xdr:rowOff>168510</xdr:rowOff>
    </xdr:from>
    <xdr:to>
      <xdr:col>13</xdr:col>
      <xdr:colOff>333554</xdr:colOff>
      <xdr:row>139</xdr:row>
      <xdr:rowOff>153208</xdr:rowOff>
    </xdr:to>
    <xdr:cxnSp macro="">
      <xdr:nvCxnSpPr>
        <xdr:cNvPr id="20" name="Straight Connector 19">
          <a:extLst>
            <a:ext uri="{FF2B5EF4-FFF2-40B4-BE49-F238E27FC236}">
              <a16:creationId xmlns:a16="http://schemas.microsoft.com/office/drawing/2014/main" id="{1E92177C-C880-EB42-B9CC-B87544B93BFF}"/>
            </a:ext>
          </a:extLst>
        </xdr:cNvPr>
        <xdr:cNvCxnSpPr/>
      </xdr:nvCxnSpPr>
      <xdr:spPr>
        <a:xfrm>
          <a:off x="11077754" y="27803710"/>
          <a:ext cx="0" cy="594298"/>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231954</xdr:colOff>
      <xdr:row>156</xdr:row>
      <xdr:rowOff>3410</xdr:rowOff>
    </xdr:from>
    <xdr:to>
      <xdr:col>13</xdr:col>
      <xdr:colOff>231954</xdr:colOff>
      <xdr:row>158</xdr:row>
      <xdr:rowOff>191308</xdr:rowOff>
    </xdr:to>
    <xdr:cxnSp macro="">
      <xdr:nvCxnSpPr>
        <xdr:cNvPr id="21" name="Straight Connector 20">
          <a:extLst>
            <a:ext uri="{FF2B5EF4-FFF2-40B4-BE49-F238E27FC236}">
              <a16:creationId xmlns:a16="http://schemas.microsoft.com/office/drawing/2014/main" id="{8F0E76E5-ACC4-4343-B54C-53B742C4EF60}"/>
            </a:ext>
          </a:extLst>
        </xdr:cNvPr>
        <xdr:cNvCxnSpPr/>
      </xdr:nvCxnSpPr>
      <xdr:spPr>
        <a:xfrm>
          <a:off x="10976154" y="31702610"/>
          <a:ext cx="0" cy="594298"/>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241300</xdr:colOff>
      <xdr:row>141</xdr:row>
      <xdr:rowOff>114300</xdr:rowOff>
    </xdr:from>
    <xdr:to>
      <xdr:col>17</xdr:col>
      <xdr:colOff>241300</xdr:colOff>
      <xdr:row>144</xdr:row>
      <xdr:rowOff>98998</xdr:rowOff>
    </xdr:to>
    <xdr:cxnSp macro="">
      <xdr:nvCxnSpPr>
        <xdr:cNvPr id="22" name="Straight Connector 21">
          <a:extLst>
            <a:ext uri="{FF2B5EF4-FFF2-40B4-BE49-F238E27FC236}">
              <a16:creationId xmlns:a16="http://schemas.microsoft.com/office/drawing/2014/main" id="{4F416394-DFC7-1541-BD7F-7A7723C5E8C8}"/>
            </a:ext>
          </a:extLst>
        </xdr:cNvPr>
        <xdr:cNvCxnSpPr/>
      </xdr:nvCxnSpPr>
      <xdr:spPr>
        <a:xfrm>
          <a:off x="14287500" y="28765500"/>
          <a:ext cx="0" cy="594298"/>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356545</xdr:colOff>
      <xdr:row>12</xdr:row>
      <xdr:rowOff>27608</xdr:rowOff>
    </xdr:from>
    <xdr:to>
      <xdr:col>15</xdr:col>
      <xdr:colOff>786850</xdr:colOff>
      <xdr:row>36</xdr:row>
      <xdr:rowOff>63993</xdr:rowOff>
    </xdr:to>
    <xdr:graphicFrame macro="">
      <xdr:nvGraphicFramePr>
        <xdr:cNvPr id="2" name="Chart 1">
          <a:extLst>
            <a:ext uri="{FF2B5EF4-FFF2-40B4-BE49-F238E27FC236}">
              <a16:creationId xmlns:a16="http://schemas.microsoft.com/office/drawing/2014/main" id="{0D3F7167-EF37-CC41-9A82-E6423368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227680</xdr:colOff>
      <xdr:row>36</xdr:row>
      <xdr:rowOff>25769</xdr:rowOff>
    </xdr:from>
    <xdr:to>
      <xdr:col>13</xdr:col>
      <xdr:colOff>658376</xdr:colOff>
      <xdr:row>49</xdr:row>
      <xdr:rowOff>77121</xdr:rowOff>
    </xdr:to>
    <xdr:graphicFrame macro="">
      <xdr:nvGraphicFramePr>
        <xdr:cNvPr id="3" name="Chart 2">
          <a:extLst>
            <a:ext uri="{FF2B5EF4-FFF2-40B4-BE49-F238E27FC236}">
              <a16:creationId xmlns:a16="http://schemas.microsoft.com/office/drawing/2014/main" id="{3F55316F-BD11-81EE-5EDF-9227E9705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450E-AC10-1D4A-B3C3-EBAF179FD452}">
  <dimension ref="A1:I128"/>
  <sheetViews>
    <sheetView zoomScale="75" zoomScaleNormal="139" workbookViewId="0"/>
  </sheetViews>
  <sheetFormatPr defaultColWidth="11.19921875" defaultRowHeight="15.6" x14ac:dyDescent="0.3"/>
  <cols>
    <col min="2" max="2" width="21.796875" customWidth="1"/>
    <col min="3" max="3" width="34.796875" customWidth="1"/>
    <col min="4" max="4" width="21.796875" customWidth="1"/>
    <col min="5" max="5" width="33" customWidth="1"/>
    <col min="6" max="6" width="34.19921875" customWidth="1"/>
    <col min="8" max="8" width="40.796875" customWidth="1"/>
    <col min="9" max="9" width="44.5" customWidth="1"/>
  </cols>
  <sheetData>
    <row r="1" spans="1:9" x14ac:dyDescent="0.3">
      <c r="B1" s="30" t="s">
        <v>36</v>
      </c>
      <c r="C1" s="30" t="s">
        <v>40</v>
      </c>
      <c r="D1" s="30" t="s">
        <v>32</v>
      </c>
      <c r="E1" s="28" t="s">
        <v>56</v>
      </c>
      <c r="F1" s="30" t="s">
        <v>60</v>
      </c>
      <c r="H1" s="28" t="s">
        <v>58</v>
      </c>
      <c r="I1" s="30" t="s">
        <v>59</v>
      </c>
    </row>
    <row r="2" spans="1:9" x14ac:dyDescent="0.3">
      <c r="B2" s="30"/>
      <c r="C2" s="30"/>
      <c r="D2" s="30"/>
      <c r="E2" s="29"/>
      <c r="F2" s="30"/>
      <c r="H2" s="29"/>
      <c r="I2" s="30"/>
    </row>
    <row r="3" spans="1:9" x14ac:dyDescent="0.3">
      <c r="A3" s="2" t="s">
        <v>35</v>
      </c>
      <c r="B3" s="30"/>
      <c r="C3" s="30"/>
      <c r="D3" s="30"/>
      <c r="E3" s="29"/>
      <c r="F3" s="30"/>
      <c r="H3" s="29"/>
      <c r="I3" s="30"/>
    </row>
    <row r="4" spans="1:9" x14ac:dyDescent="0.3">
      <c r="A4" s="2">
        <v>1901</v>
      </c>
      <c r="B4" s="7">
        <v>32.201223932838481</v>
      </c>
      <c r="C4" s="7">
        <v>32.201181608021912</v>
      </c>
      <c r="D4" s="18">
        <v>40.432637236032065</v>
      </c>
    </row>
    <row r="5" spans="1:9" x14ac:dyDescent="0.3">
      <c r="A5" s="2">
        <v>1902</v>
      </c>
      <c r="B5" s="7">
        <v>23.950322549938367</v>
      </c>
      <c r="C5" s="7">
        <v>23.950064120185122</v>
      </c>
      <c r="D5" s="18">
        <v>39.916464518647494</v>
      </c>
      <c r="E5" s="10">
        <v>-0.22752945678425365</v>
      </c>
      <c r="F5" s="18">
        <v>-7.9713087168744298E-2</v>
      </c>
      <c r="G5" s="5"/>
      <c r="H5" s="18">
        <v>-0.22752945678425365</v>
      </c>
      <c r="I5" s="18">
        <v>-7.9713087168744298E-2</v>
      </c>
    </row>
    <row r="6" spans="1:9" x14ac:dyDescent="0.3">
      <c r="A6" s="2">
        <v>1903</v>
      </c>
      <c r="B6" s="7">
        <v>28.637793376772372</v>
      </c>
      <c r="C6" s="7">
        <v>28.637695552515591</v>
      </c>
      <c r="D6" s="18">
        <v>37.586760825713519</v>
      </c>
      <c r="E6" s="10">
        <v>-0.39189944313507047</v>
      </c>
      <c r="F6" s="18">
        <v>-0.11587220678987746</v>
      </c>
      <c r="G6" s="5"/>
      <c r="H6" s="18">
        <v>-0.39189944313507047</v>
      </c>
      <c r="I6" s="18">
        <v>-0.11587220678987746</v>
      </c>
    </row>
    <row r="7" spans="1:9" x14ac:dyDescent="0.3">
      <c r="A7" s="2">
        <v>1904</v>
      </c>
      <c r="B7" s="7">
        <v>37.119668007885437</v>
      </c>
      <c r="C7" s="7">
        <v>37.119032489124628</v>
      </c>
      <c r="D7" s="18">
        <v>38.953920624075771</v>
      </c>
      <c r="E7" s="10">
        <v>0.16190730041260726</v>
      </c>
      <c r="F7" s="18">
        <v>-3.7800144816993925E-2</v>
      </c>
      <c r="G7" s="5"/>
      <c r="H7" s="18">
        <v>0.16190730041260726</v>
      </c>
      <c r="I7" s="18">
        <v>-3.7800144816993925E-2</v>
      </c>
    </row>
    <row r="8" spans="1:9" x14ac:dyDescent="0.3">
      <c r="A8" s="2">
        <v>1905</v>
      </c>
      <c r="B8" s="7">
        <v>22.739561158838697</v>
      </c>
      <c r="C8" s="7">
        <v>22.73970530196878</v>
      </c>
      <c r="D8" s="18">
        <v>40.302405345328481</v>
      </c>
      <c r="E8" s="10">
        <v>-7.2829356980785881E-2</v>
      </c>
      <c r="F8" s="18">
        <v>5.8426257543168249E-2</v>
      </c>
      <c r="G8" s="5"/>
      <c r="H8" s="18">
        <v>-7.2829356980785881E-2</v>
      </c>
      <c r="I8" s="18">
        <v>5.8426257543168249E-2</v>
      </c>
    </row>
    <row r="9" spans="1:9" x14ac:dyDescent="0.3">
      <c r="A9" s="2">
        <v>1906</v>
      </c>
      <c r="B9" s="7">
        <v>32.63075283766414</v>
      </c>
      <c r="C9" s="7">
        <v>32.630633772961858</v>
      </c>
      <c r="D9" s="18">
        <v>37.467397706534314</v>
      </c>
      <c r="E9" s="10">
        <v>0.34187773690728451</v>
      </c>
      <c r="F9" s="18">
        <v>-3.9878364240901631E-2</v>
      </c>
      <c r="G9" s="5"/>
      <c r="H9" s="18">
        <v>0.34187773690728451</v>
      </c>
      <c r="I9" s="18">
        <v>-3.9878364240901631E-2</v>
      </c>
    </row>
    <row r="10" spans="1:9" x14ac:dyDescent="0.3">
      <c r="A10" s="2">
        <v>1907</v>
      </c>
      <c r="B10" s="7">
        <v>41.009487863437293</v>
      </c>
      <c r="C10" s="7">
        <v>41.00904500718584</v>
      </c>
      <c r="D10" s="18">
        <v>39.269311023144468</v>
      </c>
      <c r="E10" s="10">
        <v>1.3050300952071214</v>
      </c>
      <c r="F10" s="18">
        <v>0.41833571387319191</v>
      </c>
      <c r="G10" s="5"/>
      <c r="H10" s="18">
        <v>1.3050300952071214</v>
      </c>
      <c r="I10" s="18">
        <v>0.41833571387319191</v>
      </c>
    </row>
    <row r="11" spans="1:9" x14ac:dyDescent="0.3">
      <c r="A11" s="2">
        <v>1908</v>
      </c>
      <c r="B11" s="7">
        <v>31.327455889652938</v>
      </c>
      <c r="C11" s="7">
        <v>31.327251566154246</v>
      </c>
      <c r="D11" s="18">
        <v>38.626379540408294</v>
      </c>
      <c r="E11" s="10">
        <v>0.29046973714204805</v>
      </c>
      <c r="F11" s="18">
        <v>0.24560799127163016</v>
      </c>
      <c r="G11" s="5"/>
      <c r="H11" s="18">
        <v>0.29046973714204805</v>
      </c>
      <c r="I11" s="18">
        <v>0.24560799127163016</v>
      </c>
    </row>
    <row r="12" spans="1:9" x14ac:dyDescent="0.3">
      <c r="A12" s="2">
        <v>1909</v>
      </c>
      <c r="B12" s="7">
        <v>47.470368656591248</v>
      </c>
      <c r="C12" s="7">
        <v>47.47007171766888</v>
      </c>
      <c r="D12" s="18">
        <v>38.044248237457253</v>
      </c>
      <c r="E12" s="10">
        <v>1.1683661661550166</v>
      </c>
      <c r="F12" s="18">
        <v>0.55825630075905719</v>
      </c>
      <c r="G12" s="5"/>
      <c r="H12" s="18">
        <v>1.1683661661550166</v>
      </c>
      <c r="I12" s="18">
        <v>0.55825630075905719</v>
      </c>
    </row>
    <row r="13" spans="1:9" x14ac:dyDescent="0.3">
      <c r="A13" s="2">
        <v>1910</v>
      </c>
      <c r="B13" s="7">
        <v>29.235317349842596</v>
      </c>
      <c r="C13" s="7">
        <v>29.235404237419477</v>
      </c>
      <c r="D13" s="18">
        <v>39.760945383572654</v>
      </c>
      <c r="E13" s="10">
        <v>0.41334883854434773</v>
      </c>
      <c r="F13" s="18">
        <v>0.89701262417056238</v>
      </c>
      <c r="G13" s="5"/>
      <c r="H13" s="18">
        <v>0.41334883854434773</v>
      </c>
      <c r="I13" s="18">
        <v>0.89701262417056238</v>
      </c>
    </row>
    <row r="14" spans="1:9" x14ac:dyDescent="0.3">
      <c r="A14" s="2">
        <v>1911</v>
      </c>
      <c r="B14" s="7">
        <v>38.571810080472595</v>
      </c>
      <c r="C14" s="7">
        <v>38.571417214585239</v>
      </c>
      <c r="D14" s="18">
        <v>39.751006696346536</v>
      </c>
      <c r="E14" s="10">
        <v>0.24279545581837406</v>
      </c>
      <c r="F14" s="18">
        <v>0.41145002492061261</v>
      </c>
      <c r="G14" s="5"/>
      <c r="H14" s="18">
        <v>0.24279545581837406</v>
      </c>
      <c r="I14" s="18">
        <v>0.41145002492061261</v>
      </c>
    </row>
    <row r="15" spans="1:9" x14ac:dyDescent="0.3">
      <c r="A15" s="2">
        <v>1912</v>
      </c>
      <c r="B15" s="7">
        <v>33.138365947089461</v>
      </c>
      <c r="C15" s="7">
        <v>33.138652816302454</v>
      </c>
      <c r="D15" s="18">
        <v>36.635590588237669</v>
      </c>
      <c r="E15" s="10">
        <v>0.66517220614675787</v>
      </c>
      <c r="F15" s="18">
        <v>7.7513316502077836E-2</v>
      </c>
      <c r="G15" s="5"/>
      <c r="H15" s="18">
        <v>0.66517220614675787</v>
      </c>
      <c r="I15" s="18">
        <v>7.7513316502077836E-2</v>
      </c>
    </row>
    <row r="16" spans="1:9" x14ac:dyDescent="0.3">
      <c r="A16" s="2">
        <v>1913</v>
      </c>
      <c r="B16" s="7">
        <v>32.748032209276367</v>
      </c>
      <c r="C16" s="7">
        <v>32.74816369402064</v>
      </c>
      <c r="D16" s="18">
        <v>37.827324488210749</v>
      </c>
      <c r="E16" s="10">
        <v>0.39165059045189776</v>
      </c>
      <c r="F16" s="18">
        <v>0.21268250964060267</v>
      </c>
      <c r="G16" s="5"/>
      <c r="H16" s="18">
        <v>0.39165059045189776</v>
      </c>
      <c r="I16" s="18">
        <v>0.21268250964060267</v>
      </c>
    </row>
    <row r="17" spans="1:9" x14ac:dyDescent="0.3">
      <c r="A17" s="2">
        <v>1914</v>
      </c>
      <c r="B17" s="7">
        <v>35.907833583622022</v>
      </c>
      <c r="C17" s="7">
        <v>35.907802049550263</v>
      </c>
      <c r="D17" s="18">
        <v>39.754423677728695</v>
      </c>
      <c r="E17" s="10">
        <v>0.84361520314417948</v>
      </c>
      <c r="F17" s="18">
        <v>0.24038971111997059</v>
      </c>
      <c r="G17" s="5"/>
      <c r="H17" s="18">
        <v>0.84361520314417948</v>
      </c>
      <c r="I17" s="18">
        <v>0.24038971111997059</v>
      </c>
    </row>
    <row r="18" spans="1:9" x14ac:dyDescent="0.3">
      <c r="A18" s="2">
        <v>1915</v>
      </c>
      <c r="B18" s="7">
        <v>29.953196982627254</v>
      </c>
      <c r="C18" s="7">
        <v>29.953336486484236</v>
      </c>
      <c r="D18" s="18">
        <v>39.370702877617241</v>
      </c>
      <c r="E18" s="10">
        <v>-0.16233106939269368</v>
      </c>
      <c r="F18" s="18">
        <v>0.2135399720865227</v>
      </c>
      <c r="G18" s="5"/>
      <c r="H18" s="18">
        <v>-0.16233106939269368</v>
      </c>
      <c r="I18" s="18">
        <v>0.2135399720865227</v>
      </c>
    </row>
    <row r="19" spans="1:9" x14ac:dyDescent="0.3">
      <c r="A19" s="2">
        <v>1916</v>
      </c>
      <c r="B19" s="7">
        <v>29.697128454268633</v>
      </c>
      <c r="C19" s="7">
        <v>29.697540643717943</v>
      </c>
      <c r="D19" s="18">
        <v>39.428253189436376</v>
      </c>
      <c r="E19" s="10">
        <v>0.20515404898105757</v>
      </c>
      <c r="F19" s="18">
        <v>4.3582965804780166E-3</v>
      </c>
      <c r="G19" s="5"/>
      <c r="H19" s="18">
        <v>0.20515404898105757</v>
      </c>
      <c r="I19" s="18">
        <v>4.3582965804780166E-3</v>
      </c>
    </row>
    <row r="20" spans="1:9" x14ac:dyDescent="0.3">
      <c r="A20" s="2">
        <v>1917</v>
      </c>
      <c r="B20" s="7">
        <v>35.18318590475652</v>
      </c>
      <c r="C20" s="7">
        <v>35.183698190789876</v>
      </c>
      <c r="D20" s="18">
        <v>34.874283571050213</v>
      </c>
      <c r="E20" s="10">
        <v>0.4318934441063485</v>
      </c>
      <c r="F20" s="18">
        <v>3.2336681912133222E-2</v>
      </c>
      <c r="G20" s="5"/>
      <c r="H20" s="18">
        <v>0.4318934441063485</v>
      </c>
      <c r="I20" s="18">
        <v>3.2336681912133222E-2</v>
      </c>
    </row>
    <row r="21" spans="1:9" x14ac:dyDescent="0.3">
      <c r="A21" s="2">
        <v>1918</v>
      </c>
      <c r="B21" s="7">
        <v>27.281057349246126</v>
      </c>
      <c r="C21" s="7">
        <v>27.281534269491029</v>
      </c>
      <c r="D21" s="18">
        <v>40.31386422507228</v>
      </c>
      <c r="E21" s="10">
        <v>0.24187391045219711</v>
      </c>
      <c r="F21" s="18">
        <v>0.22776677237918702</v>
      </c>
      <c r="G21" s="5"/>
      <c r="H21" s="18">
        <v>0.24187391045219711</v>
      </c>
      <c r="I21" s="18">
        <v>0.22776677237918702</v>
      </c>
    </row>
    <row r="22" spans="1:9" x14ac:dyDescent="0.3">
      <c r="A22" s="2">
        <v>1919</v>
      </c>
      <c r="B22" s="7">
        <v>23.672653324161853</v>
      </c>
      <c r="C22" s="7">
        <v>23.67276173103193</v>
      </c>
      <c r="D22" s="18">
        <v>40.789645808887705</v>
      </c>
      <c r="E22" s="10">
        <v>-0.21878913377649051</v>
      </c>
      <c r="F22" s="18">
        <v>-1.0355253402108935E-2</v>
      </c>
      <c r="G22" s="5"/>
      <c r="H22" s="18">
        <v>-0.21878913377649051</v>
      </c>
      <c r="I22" s="18">
        <v>-1.0355253402108935E-2</v>
      </c>
    </row>
    <row r="23" spans="1:9" x14ac:dyDescent="0.3">
      <c r="A23" s="2">
        <v>1920</v>
      </c>
      <c r="B23" s="7">
        <v>33.086965353070532</v>
      </c>
      <c r="C23" s="7">
        <v>33.087177041290019</v>
      </c>
      <c r="D23" s="18">
        <v>37.762510467740732</v>
      </c>
      <c r="E23" s="10">
        <v>0.19041825300058365</v>
      </c>
      <c r="F23" s="18">
        <v>2.2303985220173721E-2</v>
      </c>
      <c r="G23" s="5"/>
      <c r="H23" s="18">
        <v>0.19041825300058365</v>
      </c>
      <c r="I23" s="18">
        <v>2.2303985220173721E-2</v>
      </c>
    </row>
    <row r="24" spans="1:9" x14ac:dyDescent="0.3">
      <c r="A24" s="2">
        <v>1921</v>
      </c>
      <c r="B24" s="7">
        <v>37.0954278305475</v>
      </c>
      <c r="C24" s="7">
        <v>37.095689150843853</v>
      </c>
      <c r="D24" s="18">
        <v>39.305643221151669</v>
      </c>
      <c r="E24" s="10">
        <v>0.71444860903713603</v>
      </c>
      <c r="F24" s="18">
        <v>0.30208873570456751</v>
      </c>
      <c r="G24" s="5"/>
      <c r="H24" s="18">
        <v>0.71444860903713603</v>
      </c>
      <c r="I24" s="18">
        <v>0.30208873570456751</v>
      </c>
    </row>
    <row r="25" spans="1:9" x14ac:dyDescent="0.3">
      <c r="A25" s="2">
        <v>1922</v>
      </c>
      <c r="B25" s="7">
        <v>34.872144110709478</v>
      </c>
      <c r="C25" s="7">
        <v>34.872467418394727</v>
      </c>
      <c r="D25" s="18">
        <v>39.012198919385725</v>
      </c>
      <c r="E25" s="10">
        <v>0.52181072586713539</v>
      </c>
      <c r="F25" s="18">
        <v>0.52635502735717221</v>
      </c>
      <c r="G25" s="5"/>
      <c r="H25" s="18">
        <v>0.52181072586713539</v>
      </c>
      <c r="I25" s="18">
        <v>0.52635502735717221</v>
      </c>
    </row>
    <row r="26" spans="1:9" x14ac:dyDescent="0.3">
      <c r="A26" s="2">
        <v>1923</v>
      </c>
      <c r="B26" s="7">
        <v>38.961315502502046</v>
      </c>
      <c r="C26" s="7">
        <v>38.961485162720514</v>
      </c>
      <c r="D26" s="18">
        <v>38.085003983431676</v>
      </c>
      <c r="E26" s="10">
        <v>0.38071474085908807</v>
      </c>
      <c r="F26" s="18">
        <v>0.48211905316478543</v>
      </c>
      <c r="G26" s="5"/>
      <c r="H26" s="18">
        <v>0.38071474085908807</v>
      </c>
      <c r="I26" s="18">
        <v>0.48211905316478543</v>
      </c>
    </row>
    <row r="27" spans="1:9" x14ac:dyDescent="0.3">
      <c r="A27" s="2">
        <v>1924</v>
      </c>
      <c r="B27" s="7">
        <v>19.348477599287918</v>
      </c>
      <c r="C27" s="7">
        <v>19.348838112525026</v>
      </c>
      <c r="D27" s="18">
        <v>38.496573822367907</v>
      </c>
      <c r="E27" s="10">
        <v>-0.12352101244888684</v>
      </c>
      <c r="F27" s="18">
        <v>0.38846808546871059</v>
      </c>
      <c r="G27" s="5"/>
      <c r="H27" s="18">
        <v>-0.12352101244888684</v>
      </c>
      <c r="I27" s="18">
        <v>0.38846808546871059</v>
      </c>
    </row>
    <row r="28" spans="1:9" x14ac:dyDescent="0.3">
      <c r="A28" s="2">
        <v>1925</v>
      </c>
      <c r="B28" s="7">
        <v>37.404492339746675</v>
      </c>
      <c r="C28" s="7">
        <v>37.404707271744066</v>
      </c>
      <c r="D28" s="18">
        <v>39.245266511859668</v>
      </c>
      <c r="E28" s="10">
        <v>-1.9465368172088895E-2</v>
      </c>
      <c r="F28" s="18">
        <v>9.986400043405351E-2</v>
      </c>
      <c r="G28" s="5"/>
      <c r="H28" s="18">
        <v>-1.9465368172088895E-2</v>
      </c>
      <c r="I28" s="18">
        <v>9.986400043405351E-2</v>
      </c>
    </row>
    <row r="29" spans="1:9" x14ac:dyDescent="0.3">
      <c r="A29" s="2">
        <v>1926</v>
      </c>
      <c r="B29" s="7">
        <v>29.639087807641587</v>
      </c>
      <c r="C29" s="7">
        <v>29.639458390461044</v>
      </c>
      <c r="D29" s="18">
        <v>40.540336552172526</v>
      </c>
      <c r="E29" s="10">
        <v>-0.16781116122805978</v>
      </c>
      <c r="F29" s="18">
        <v>9.897313036752807E-2</v>
      </c>
      <c r="G29" s="5"/>
      <c r="H29" s="18">
        <v>-0.16781116122805978</v>
      </c>
      <c r="I29" s="18">
        <v>9.897313036752807E-2</v>
      </c>
    </row>
    <row r="30" spans="1:9" x14ac:dyDescent="0.3">
      <c r="A30" s="2">
        <v>1927</v>
      </c>
      <c r="B30" s="7">
        <v>35.609016689586099</v>
      </c>
      <c r="C30" s="7">
        <v>35.609443664169099</v>
      </c>
      <c r="D30" s="18">
        <v>39.628027688880572</v>
      </c>
      <c r="E30" s="10">
        <v>0.14466226688621425</v>
      </c>
      <c r="F30" s="18">
        <v>6.6892712951847733E-2</v>
      </c>
      <c r="G30" s="5"/>
      <c r="H30" s="18">
        <v>0.14466226688621425</v>
      </c>
      <c r="I30" s="18">
        <v>6.6892712951847733E-2</v>
      </c>
    </row>
    <row r="31" spans="1:9" x14ac:dyDescent="0.3">
      <c r="A31" s="2">
        <v>1928</v>
      </c>
      <c r="B31" s="7">
        <v>27.730658315751526</v>
      </c>
      <c r="C31" s="7">
        <v>27.731153230842633</v>
      </c>
      <c r="D31" s="18">
        <v>39.669157118059019</v>
      </c>
      <c r="E31" s="10">
        <v>-2.560137949440866E-2</v>
      </c>
      <c r="F31" s="18">
        <v>9.8606201530504131E-2</v>
      </c>
      <c r="G31" s="5"/>
      <c r="H31" s="18">
        <v>-2.560137949440866E-2</v>
      </c>
      <c r="I31" s="18">
        <v>9.8606201530504131E-2</v>
      </c>
    </row>
    <row r="32" spans="1:9" x14ac:dyDescent="0.3">
      <c r="A32" s="2">
        <v>1929</v>
      </c>
      <c r="B32" s="7">
        <v>37.761208190323131</v>
      </c>
      <c r="C32" s="7">
        <v>37.76088980899096</v>
      </c>
      <c r="D32" s="18">
        <v>37.417323850666634</v>
      </c>
      <c r="E32" s="10">
        <v>-1.2640862221584276E-2</v>
      </c>
      <c r="F32" s="18">
        <v>-5.4726071992022111E-2</v>
      </c>
      <c r="G32" s="5"/>
      <c r="H32" s="18">
        <v>-1.2640862221584276E-2</v>
      </c>
      <c r="I32" s="18">
        <v>-5.4726071992022111E-2</v>
      </c>
    </row>
    <row r="33" spans="1:9" x14ac:dyDescent="0.3">
      <c r="A33" s="2">
        <v>1930</v>
      </c>
      <c r="B33" s="7">
        <v>28.276786195031313</v>
      </c>
      <c r="C33" s="7">
        <v>28.276966682625019</v>
      </c>
      <c r="D33" s="18">
        <v>39.984011509495303</v>
      </c>
      <c r="E33" s="10">
        <v>-0.31182954922955147</v>
      </c>
      <c r="F33" s="18">
        <v>-8.8995333092196052E-2</v>
      </c>
      <c r="G33" s="5"/>
      <c r="H33" s="18">
        <v>-0.31182954922955147</v>
      </c>
      <c r="I33" s="18">
        <v>-8.8995333092196052E-2</v>
      </c>
    </row>
    <row r="34" spans="1:9" x14ac:dyDescent="0.3">
      <c r="A34" s="2">
        <v>1931</v>
      </c>
      <c r="B34" s="7">
        <v>20.471096081607755</v>
      </c>
      <c r="C34" s="7">
        <v>20.471321535571484</v>
      </c>
      <c r="D34" s="18">
        <v>38.53497640839376</v>
      </c>
      <c r="E34" s="10">
        <v>-0.5683760117137302</v>
      </c>
      <c r="F34" s="18">
        <v>-0.15744087160053169</v>
      </c>
      <c r="G34" s="5"/>
      <c r="H34" s="18">
        <v>-0.5683760117137302</v>
      </c>
      <c r="I34" s="18">
        <v>-0.15744087160053169</v>
      </c>
    </row>
    <row r="35" spans="1:9" x14ac:dyDescent="0.3">
      <c r="A35" s="2">
        <v>1932</v>
      </c>
      <c r="B35" s="7">
        <v>32.888561508557579</v>
      </c>
      <c r="C35" s="7">
        <v>32.889318912545335</v>
      </c>
      <c r="D35" s="18">
        <v>37.556033502963423</v>
      </c>
      <c r="E35" s="10">
        <v>1.7132888805823143E-2</v>
      </c>
      <c r="F35" s="18">
        <v>-0.30885016731363263</v>
      </c>
      <c r="G35" s="5"/>
      <c r="H35" s="18">
        <v>1.7132888805823143E-2</v>
      </c>
      <c r="I35" s="18">
        <v>-0.30885016731363263</v>
      </c>
    </row>
    <row r="36" spans="1:9" x14ac:dyDescent="0.3">
      <c r="A36" s="2">
        <v>1933</v>
      </c>
      <c r="B36" s="7">
        <v>26.141159151749946</v>
      </c>
      <c r="C36" s="7">
        <v>26.141411071445283</v>
      </c>
      <c r="D36" s="18">
        <v>37.598223922748069</v>
      </c>
      <c r="E36" s="10">
        <v>-0.21797991250502516</v>
      </c>
      <c r="F36" s="18">
        <v>-0.11137001558920079</v>
      </c>
      <c r="G36" s="5"/>
      <c r="H36" s="18">
        <v>-0.21797991250502516</v>
      </c>
      <c r="I36" s="18">
        <v>-0.11137001558920079</v>
      </c>
    </row>
    <row r="37" spans="1:9" x14ac:dyDescent="0.3">
      <c r="A37" s="2">
        <v>1934</v>
      </c>
      <c r="B37" s="7">
        <v>18.549483461959795</v>
      </c>
      <c r="C37" s="7">
        <v>18.54975463243164</v>
      </c>
      <c r="D37" s="18">
        <v>43.922926325890813</v>
      </c>
      <c r="E37" s="10">
        <v>-0.64230630504784036</v>
      </c>
      <c r="F37" s="18">
        <v>-0.21711505198639425</v>
      </c>
      <c r="G37" s="5"/>
      <c r="H37" s="18">
        <v>-0.64230630504784036</v>
      </c>
      <c r="I37" s="18">
        <v>-0.21711505198639425</v>
      </c>
    </row>
    <row r="38" spans="1:9" x14ac:dyDescent="0.3">
      <c r="A38" s="2">
        <v>1935</v>
      </c>
      <c r="B38" s="7">
        <v>28.035442886416018</v>
      </c>
      <c r="C38" s="7">
        <v>28.035866322736037</v>
      </c>
      <c r="D38" s="18">
        <v>40.472767230615112</v>
      </c>
      <c r="E38" s="10">
        <v>-0.31250864763271502</v>
      </c>
      <c r="F38" s="18">
        <v>-0.34441010494169566</v>
      </c>
      <c r="G38" s="5"/>
      <c r="H38" s="18">
        <v>-0.31250864763271502</v>
      </c>
      <c r="I38" s="18">
        <v>-0.34441010494169566</v>
      </c>
    </row>
    <row r="39" spans="1:9" x14ac:dyDescent="0.3">
      <c r="A39" s="2">
        <v>1936</v>
      </c>
      <c r="B39" s="7">
        <v>34.717700994848769</v>
      </c>
      <c r="C39" s="7">
        <v>34.718391966808262</v>
      </c>
      <c r="D39" s="18">
        <v>39.763604642235862</v>
      </c>
      <c r="E39" s="10">
        <v>7.9930961858489288E-2</v>
      </c>
      <c r="F39" s="18">
        <v>-0.28258205232229189</v>
      </c>
      <c r="G39" s="5"/>
      <c r="H39" s="18">
        <v>7.9930961858489288E-2</v>
      </c>
      <c r="I39" s="18">
        <v>-0.28258205232229189</v>
      </c>
    </row>
    <row r="40" spans="1:9" x14ac:dyDescent="0.3">
      <c r="A40" s="2">
        <v>1937</v>
      </c>
      <c r="B40" s="7">
        <v>32.969603341914038</v>
      </c>
      <c r="C40" s="7">
        <v>32.970226512659771</v>
      </c>
      <c r="D40" s="18">
        <v>38.297027034444184</v>
      </c>
      <c r="E40" s="10">
        <v>-0.19767743534557811</v>
      </c>
      <c r="F40" s="18">
        <v>-0.14278360499343901</v>
      </c>
      <c r="G40" s="5"/>
      <c r="H40" s="18">
        <v>-0.19767743534557811</v>
      </c>
      <c r="I40" s="18">
        <v>-0.14278360499343901</v>
      </c>
    </row>
    <row r="41" spans="1:9" x14ac:dyDescent="0.3">
      <c r="A41" s="2">
        <v>1938</v>
      </c>
      <c r="B41" s="7">
        <v>32.894925727490971</v>
      </c>
      <c r="C41" s="7">
        <v>32.895400956413532</v>
      </c>
      <c r="D41" s="18">
        <v>40.864352825002648</v>
      </c>
      <c r="E41" s="10">
        <v>-7.8423968265158642E-2</v>
      </c>
      <c r="F41" s="18">
        <v>-8.4871769335500502E-2</v>
      </c>
      <c r="G41" s="5"/>
      <c r="H41" s="18">
        <v>-7.8423968265158642E-2</v>
      </c>
      <c r="I41" s="18">
        <v>-8.4871769335500502E-2</v>
      </c>
    </row>
    <row r="42" spans="1:9" x14ac:dyDescent="0.3">
      <c r="A42" s="2">
        <v>1939</v>
      </c>
      <c r="B42" s="7">
        <v>27.340889929775162</v>
      </c>
      <c r="C42" s="7">
        <v>27.341248589871729</v>
      </c>
      <c r="D42" s="18">
        <v>38.866808694420257</v>
      </c>
      <c r="E42" s="10">
        <v>-0.35752997353353944</v>
      </c>
      <c r="F42" s="18">
        <v>-0.10337008388693782</v>
      </c>
      <c r="G42" s="5"/>
      <c r="H42" s="18">
        <v>-0.35752997353353944</v>
      </c>
      <c r="I42" s="18">
        <v>-0.10337008388693782</v>
      </c>
    </row>
    <row r="43" spans="1:9" x14ac:dyDescent="0.3">
      <c r="A43" s="2">
        <v>1940</v>
      </c>
      <c r="B43" s="7">
        <v>27.029667575091459</v>
      </c>
      <c r="C43" s="7">
        <v>27.030112047461575</v>
      </c>
      <c r="D43" s="18">
        <v>42.322179967623434</v>
      </c>
      <c r="E43" s="10">
        <v>-0.49894526149115465</v>
      </c>
      <c r="F43" s="18">
        <v>-0.28966977503863744</v>
      </c>
      <c r="G43" s="5"/>
      <c r="H43" s="18">
        <v>-0.49894526149115465</v>
      </c>
      <c r="I43" s="18">
        <v>-0.28966977503863744</v>
      </c>
    </row>
    <row r="44" spans="1:9" x14ac:dyDescent="0.3">
      <c r="A44" s="2">
        <v>1941</v>
      </c>
      <c r="B44" s="7">
        <v>33.314165837885987</v>
      </c>
      <c r="C44" s="7">
        <v>33.314732528842356</v>
      </c>
      <c r="D44" s="18">
        <v>39.413128255826877</v>
      </c>
      <c r="E44" s="10">
        <v>-0.42966403862865599</v>
      </c>
      <c r="F44" s="18">
        <v>-0.34022100691586465</v>
      </c>
      <c r="G44" s="5"/>
      <c r="H44" s="18">
        <v>-0.42966403862865599</v>
      </c>
      <c r="I44" s="18">
        <v>-0.34022100691586465</v>
      </c>
    </row>
    <row r="45" spans="1:9" x14ac:dyDescent="0.3">
      <c r="A45" s="2">
        <v>1942</v>
      </c>
      <c r="B45" s="7">
        <v>31.618496145077504</v>
      </c>
      <c r="C45" s="7">
        <v>31.619167978731038</v>
      </c>
      <c r="D45" s="18">
        <v>37.80776892019739</v>
      </c>
      <c r="E45" s="10">
        <v>-0.2714834427777949</v>
      </c>
      <c r="F45" s="18">
        <v>-0.22541424293309598</v>
      </c>
      <c r="G45" s="5"/>
      <c r="H45" s="18">
        <v>-0.2714834427777949</v>
      </c>
      <c r="I45" s="18">
        <v>-0.22541424293309598</v>
      </c>
    </row>
    <row r="46" spans="1:9" x14ac:dyDescent="0.3">
      <c r="A46" s="2">
        <v>1943</v>
      </c>
      <c r="B46" s="7">
        <v>30.249697114363443</v>
      </c>
      <c r="C46" s="7">
        <v>30.250135336413965</v>
      </c>
      <c r="D46" s="18">
        <v>40.376924079330735</v>
      </c>
      <c r="E46" s="10">
        <v>9.8270114727820601E-3</v>
      </c>
      <c r="F46" s="18">
        <v>-0.17677906499856008</v>
      </c>
      <c r="G46" s="5"/>
      <c r="H46" s="18">
        <v>9.8270114727820601E-3</v>
      </c>
      <c r="I46" s="18">
        <v>-0.17677906499856008</v>
      </c>
    </row>
    <row r="47" spans="1:9" x14ac:dyDescent="0.3">
      <c r="A47" s="2">
        <v>1944</v>
      </c>
      <c r="B47" s="7">
        <v>29.409587725233319</v>
      </c>
      <c r="C47" s="7">
        <v>29.409813671163267</v>
      </c>
      <c r="D47" s="18">
        <v>38.3719273137973</v>
      </c>
      <c r="E47" s="10">
        <v>-0.13170850991574579</v>
      </c>
      <c r="F47" s="18">
        <v>-0.11527934404970511</v>
      </c>
      <c r="G47" s="5"/>
      <c r="H47" s="18">
        <v>-0.13170850991574579</v>
      </c>
      <c r="I47" s="18">
        <v>-0.11527934404970511</v>
      </c>
    </row>
    <row r="48" spans="1:9" x14ac:dyDescent="0.3">
      <c r="A48" s="2">
        <v>1945</v>
      </c>
      <c r="B48" s="7">
        <v>33.566972211617845</v>
      </c>
      <c r="C48" s="7">
        <v>33.567551712284548</v>
      </c>
      <c r="D48" s="18">
        <v>38.738826438056364</v>
      </c>
      <c r="E48" s="10">
        <v>-0.14768601985946364</v>
      </c>
      <c r="F48" s="18">
        <v>-0.16448679280964187</v>
      </c>
      <c r="G48" s="5"/>
      <c r="H48" s="18">
        <v>-0.14768601985946364</v>
      </c>
      <c r="I48" s="18">
        <v>-0.16448679280964187</v>
      </c>
    </row>
    <row r="49" spans="1:9" x14ac:dyDescent="0.3">
      <c r="A49" s="2">
        <v>1946</v>
      </c>
      <c r="B49" s="7">
        <v>28.298455447556883</v>
      </c>
      <c r="C49" s="7">
        <v>28.298883020659929</v>
      </c>
      <c r="D49" s="18">
        <v>39.574897730429953</v>
      </c>
      <c r="E49" s="10">
        <v>2.746720554992747E-2</v>
      </c>
      <c r="F49" s="18">
        <v>4.4984749969404117E-2</v>
      </c>
      <c r="G49" s="5"/>
      <c r="H49" s="18">
        <v>2.746720554992747E-2</v>
      </c>
      <c r="I49" s="18">
        <v>4.4984749969404117E-2</v>
      </c>
    </row>
    <row r="50" spans="1:9" x14ac:dyDescent="0.3">
      <c r="A50" s="2">
        <v>1947</v>
      </c>
      <c r="B50" s="7">
        <v>35.372433577651016</v>
      </c>
      <c r="C50" s="7">
        <v>35.372633374155342</v>
      </c>
      <c r="D50" s="18">
        <v>39.460966462636549</v>
      </c>
      <c r="E50" s="10">
        <v>-8.216906245086834E-3</v>
      </c>
      <c r="F50" s="18">
        <v>-3.3460735591762297E-2</v>
      </c>
      <c r="G50" s="5"/>
      <c r="H50" s="18">
        <v>-8.216906245086834E-3</v>
      </c>
      <c r="I50" s="18">
        <v>-3.3460735591762297E-2</v>
      </c>
    </row>
    <row r="51" spans="1:9" x14ac:dyDescent="0.3">
      <c r="A51" s="2">
        <v>1948</v>
      </c>
      <c r="B51" s="7">
        <v>30.246918410364735</v>
      </c>
      <c r="C51" s="7">
        <v>30.247669894260184</v>
      </c>
      <c r="D51" s="18">
        <v>38.667890279230562</v>
      </c>
      <c r="E51" s="10">
        <v>-8.1252320566040023E-3</v>
      </c>
      <c r="F51" s="18">
        <v>-1.3546078392362158E-2</v>
      </c>
      <c r="G51" s="5"/>
      <c r="H51" s="18">
        <v>-8.1252320566040023E-3</v>
      </c>
      <c r="I51" s="18">
        <v>-1.3546078392362158E-2</v>
      </c>
    </row>
    <row r="52" spans="1:9" x14ac:dyDescent="0.3">
      <c r="A52" s="2">
        <v>1949</v>
      </c>
      <c r="B52" s="7">
        <v>34.183074586527546</v>
      </c>
      <c r="C52" s="7">
        <v>34.183933117266378</v>
      </c>
      <c r="D52" s="18">
        <v>37.812771189233985</v>
      </c>
      <c r="E52" s="10">
        <v>-2.3681443114276592E-4</v>
      </c>
      <c r="F52" s="18">
        <v>-5.0041081302509366E-2</v>
      </c>
      <c r="G52" s="5"/>
      <c r="H52" s="18">
        <v>-2.3681443114276592E-4</v>
      </c>
      <c r="I52" s="18">
        <v>-5.0041081302509366E-2</v>
      </c>
    </row>
    <row r="53" spans="1:9" x14ac:dyDescent="0.3">
      <c r="A53" s="2">
        <v>1950</v>
      </c>
      <c r="B53" s="7">
        <v>33.102501525705293</v>
      </c>
      <c r="C53" s="7">
        <v>33.102983505698496</v>
      </c>
      <c r="D53" s="18">
        <v>38.671457630661159</v>
      </c>
      <c r="E53" s="10">
        <v>0.29410658362435399</v>
      </c>
      <c r="F53" s="18">
        <v>4.9724748337930919E-2</v>
      </c>
      <c r="G53" s="5"/>
      <c r="H53" s="18">
        <v>0.29410658362435399</v>
      </c>
      <c r="I53" s="18">
        <v>4.9724748337930919E-2</v>
      </c>
    </row>
    <row r="54" spans="1:9" x14ac:dyDescent="0.3">
      <c r="A54" s="2">
        <v>1951</v>
      </c>
      <c r="B54" s="7">
        <v>33.600067518790809</v>
      </c>
      <c r="C54" s="7">
        <v>33.600905486449427</v>
      </c>
      <c r="D54" s="18">
        <v>40.477637700042237</v>
      </c>
      <c r="E54" s="10">
        <v>0.17799565268424289</v>
      </c>
      <c r="F54" s="18">
        <v>0.16107752539220069</v>
      </c>
      <c r="G54" s="5"/>
      <c r="H54" s="18">
        <v>0.17799565268424289</v>
      </c>
      <c r="I54" s="18">
        <v>0.16107752539220069</v>
      </c>
    </row>
    <row r="55" spans="1:9" x14ac:dyDescent="0.3">
      <c r="A55" s="2">
        <v>1952</v>
      </c>
      <c r="B55" s="7">
        <v>39.137985810550759</v>
      </c>
      <c r="C55" s="7">
        <v>39.138643829039125</v>
      </c>
      <c r="D55" s="18">
        <v>38.156927351625598</v>
      </c>
      <c r="E55" s="10">
        <v>0.35878918726856451</v>
      </c>
      <c r="F55" s="18">
        <v>7.8586543215804883E-2</v>
      </c>
      <c r="G55" s="5"/>
      <c r="H55" s="18">
        <v>0.35878918726856451</v>
      </c>
      <c r="I55" s="18">
        <v>7.8586543215804883E-2</v>
      </c>
    </row>
    <row r="56" spans="1:9" x14ac:dyDescent="0.3">
      <c r="A56" s="2">
        <v>1953</v>
      </c>
      <c r="B56" s="7">
        <v>30.037593846656925</v>
      </c>
      <c r="C56" s="7">
        <v>30.038004259852059</v>
      </c>
      <c r="D56" s="18">
        <v>40.476771088892299</v>
      </c>
      <c r="E56" s="10">
        <v>-8.683780434382872E-2</v>
      </c>
      <c r="F56" s="18">
        <v>0.12378556176804228</v>
      </c>
      <c r="G56" s="5"/>
      <c r="H56" s="18">
        <v>-8.683780434382872E-2</v>
      </c>
      <c r="I56" s="18">
        <v>0.12378556176804228</v>
      </c>
    </row>
    <row r="57" spans="1:9" x14ac:dyDescent="0.3">
      <c r="A57" s="2">
        <v>1954</v>
      </c>
      <c r="B57" s="7">
        <v>25.675875424096979</v>
      </c>
      <c r="C57" s="7">
        <v>25.676358333238277</v>
      </c>
      <c r="D57" s="18">
        <v>41.132242697042685</v>
      </c>
      <c r="E57" s="10">
        <v>-0.34797790804474049</v>
      </c>
      <c r="F57" s="18">
        <v>-4.6357163043335176E-2</v>
      </c>
      <c r="G57" s="5"/>
      <c r="H57" s="18">
        <v>-0.34797790804474049</v>
      </c>
      <c r="I57" s="18">
        <v>-4.6357163043335176E-2</v>
      </c>
    </row>
    <row r="58" spans="1:9" x14ac:dyDescent="0.3">
      <c r="A58" s="2">
        <v>1955</v>
      </c>
      <c r="B58" s="7">
        <v>31.962881317976787</v>
      </c>
      <c r="C58" s="7">
        <v>31.963215181518599</v>
      </c>
      <c r="D58" s="18">
        <v>37.931186111766074</v>
      </c>
      <c r="E58" s="10">
        <v>-0.305451917810034</v>
      </c>
      <c r="F58" s="18">
        <v>-0.21310714319030738</v>
      </c>
      <c r="G58" s="5"/>
      <c r="H58" s="18">
        <v>-0.305451917810034</v>
      </c>
      <c r="I58" s="18">
        <v>-0.21310714319030738</v>
      </c>
    </row>
    <row r="59" spans="1:9" x14ac:dyDescent="0.3">
      <c r="A59" s="2">
        <v>1956</v>
      </c>
      <c r="B59" s="7">
        <v>31.249691939073212</v>
      </c>
      <c r="C59" s="7">
        <v>31.250405331972942</v>
      </c>
      <c r="D59" s="18">
        <v>39.771103293464947</v>
      </c>
      <c r="E59" s="10">
        <v>2.4943776460553423E-2</v>
      </c>
      <c r="F59" s="18">
        <v>0.19989762283773202</v>
      </c>
      <c r="G59" s="5"/>
      <c r="H59" s="18">
        <v>2.4943776460553423E-2</v>
      </c>
      <c r="I59" s="18">
        <v>0.19989762283773202</v>
      </c>
    </row>
    <row r="60" spans="1:9" x14ac:dyDescent="0.3">
      <c r="A60" s="2">
        <v>1957</v>
      </c>
      <c r="B60" s="7">
        <v>34.599875020277878</v>
      </c>
      <c r="C60" s="7">
        <v>34.600146842653054</v>
      </c>
      <c r="D60" s="18">
        <v>38.787313198344236</v>
      </c>
      <c r="E60" s="10">
        <v>8.5029071205481671E-2</v>
      </c>
      <c r="F60" s="18">
        <v>-0.11933683943229893</v>
      </c>
      <c r="G60" s="5"/>
      <c r="H60" s="18">
        <v>8.5029071205481671E-2</v>
      </c>
      <c r="I60" s="18">
        <v>-0.11933683943229893</v>
      </c>
    </row>
    <row r="61" spans="1:9" x14ac:dyDescent="0.3">
      <c r="A61" s="2">
        <v>1958</v>
      </c>
      <c r="B61" s="7">
        <v>30.91223939256389</v>
      </c>
      <c r="C61" s="7">
        <v>30.912454098716744</v>
      </c>
      <c r="D61" s="18">
        <v>39.381475479449932</v>
      </c>
      <c r="E61" s="10">
        <v>-9.1158148793033744E-2</v>
      </c>
      <c r="F61" s="18">
        <v>-2.1901815806239129E-2</v>
      </c>
      <c r="G61" s="5"/>
      <c r="H61" s="18">
        <v>-9.1158148793033744E-2</v>
      </c>
      <c r="I61" s="18">
        <v>-2.1901815806239129E-2</v>
      </c>
    </row>
    <row r="62" spans="1:9" x14ac:dyDescent="0.3">
      <c r="A62" s="2">
        <v>1959</v>
      </c>
      <c r="B62" s="7">
        <v>29.84791790130722</v>
      </c>
      <c r="C62" s="7">
        <v>29.848131754885614</v>
      </c>
      <c r="D62" s="18">
        <v>40.562026952337128</v>
      </c>
      <c r="E62" s="10">
        <v>-0.3106412139323258</v>
      </c>
      <c r="F62" s="18">
        <v>-0.10662457395608774</v>
      </c>
      <c r="G62" s="5"/>
      <c r="H62" s="18">
        <v>-0.3106412139323258</v>
      </c>
      <c r="I62" s="18">
        <v>-0.10662457395608774</v>
      </c>
    </row>
    <row r="63" spans="1:9" x14ac:dyDescent="0.3">
      <c r="A63" s="2">
        <v>1960</v>
      </c>
      <c r="B63" s="7">
        <v>22.678530190293397</v>
      </c>
      <c r="C63" s="7">
        <v>22.678880730749974</v>
      </c>
      <c r="D63" s="18">
        <v>39.868914106942874</v>
      </c>
      <c r="E63" s="10">
        <v>-0.29786419642294448</v>
      </c>
      <c r="F63" s="18">
        <v>-0.19078646228443411</v>
      </c>
      <c r="G63" s="5"/>
      <c r="H63" s="18">
        <v>-0.29786419642294448</v>
      </c>
      <c r="I63" s="18">
        <v>-0.19078646228443411</v>
      </c>
    </row>
    <row r="64" spans="1:9" x14ac:dyDescent="0.3">
      <c r="A64" s="2">
        <v>1961</v>
      </c>
      <c r="B64" s="7">
        <v>25.294582990256462</v>
      </c>
      <c r="C64" s="7">
        <v>25.295068615191962</v>
      </c>
      <c r="D64" s="18">
        <v>40.529868556164004</v>
      </c>
      <c r="E64" s="10">
        <v>-0.54831293008157966</v>
      </c>
      <c r="F64" s="18">
        <v>-0.27219699971416333</v>
      </c>
      <c r="G64" s="5"/>
      <c r="H64" s="18">
        <v>-0.54831293008157966</v>
      </c>
      <c r="I64" s="18">
        <v>-0.27219699971416333</v>
      </c>
    </row>
    <row r="65" spans="1:9" x14ac:dyDescent="0.3">
      <c r="A65" s="2">
        <v>1962</v>
      </c>
      <c r="B65" s="7">
        <v>34.04028043374236</v>
      </c>
      <c r="C65" s="7">
        <v>34.040806503191661</v>
      </c>
      <c r="D65" s="18">
        <v>38.321311398709256</v>
      </c>
      <c r="E65" s="10">
        <v>-1.0512378715772029E-2</v>
      </c>
      <c r="F65" s="18">
        <v>-0.27823401568995304</v>
      </c>
      <c r="G65" s="5"/>
      <c r="H65" s="18">
        <v>-1.0512378715772029E-2</v>
      </c>
      <c r="I65" s="18">
        <v>-0.27823401568995304</v>
      </c>
    </row>
    <row r="66" spans="1:9" x14ac:dyDescent="0.3">
      <c r="A66" s="2">
        <v>1963</v>
      </c>
      <c r="B66" s="7">
        <v>29.405506376365423</v>
      </c>
      <c r="C66" s="7">
        <v>29.405457385762439</v>
      </c>
      <c r="D66" s="18">
        <v>40.854167161240852</v>
      </c>
      <c r="E66" s="10">
        <v>-0.27041095930209075</v>
      </c>
      <c r="F66" s="18">
        <v>-0.21771538775194602</v>
      </c>
      <c r="G66" s="5"/>
      <c r="H66" s="18">
        <v>-0.27041095930209075</v>
      </c>
      <c r="I66" s="18">
        <v>-0.21771538775194602</v>
      </c>
    </row>
    <row r="67" spans="1:9" x14ac:dyDescent="0.3">
      <c r="A67" s="2">
        <v>1964</v>
      </c>
      <c r="B67" s="7">
        <v>32.230562783441727</v>
      </c>
      <c r="C67" s="7">
        <v>32.231330398402527</v>
      </c>
      <c r="D67" s="18">
        <v>37.713161469103177</v>
      </c>
      <c r="E67" s="10">
        <v>-8.9287328426824297E-2</v>
      </c>
      <c r="F67" s="18">
        <v>-0.23051225260804312</v>
      </c>
      <c r="G67" s="5"/>
      <c r="H67" s="18">
        <v>-8.9287328426824297E-2</v>
      </c>
      <c r="I67" s="18">
        <v>-0.23051225260804312</v>
      </c>
    </row>
    <row r="68" spans="1:9" x14ac:dyDescent="0.3">
      <c r="A68" s="2">
        <v>1965</v>
      </c>
      <c r="B68" s="7">
        <v>39.645038528519073</v>
      </c>
      <c r="C68" s="7">
        <v>39.645423452973873</v>
      </c>
      <c r="D68" s="18">
        <v>38.139370349767319</v>
      </c>
      <c r="E68" s="10">
        <v>0.27860002037990678</v>
      </c>
      <c r="F68" s="18">
        <v>9.7503761873379127E-2</v>
      </c>
      <c r="G68" s="5"/>
      <c r="H68" s="18">
        <v>0.27860002037990678</v>
      </c>
      <c r="I68" s="18">
        <v>9.7503761873379127E-2</v>
      </c>
    </row>
    <row r="69" spans="1:9" x14ac:dyDescent="0.3">
      <c r="A69" s="2">
        <v>1966</v>
      </c>
      <c r="B69" s="7">
        <v>24.042546437771421</v>
      </c>
      <c r="C69" s="7">
        <v>24.042904140206979</v>
      </c>
      <c r="D69" s="18">
        <v>40.030511441387361</v>
      </c>
      <c r="E69" s="10">
        <v>-0.20391512863107528</v>
      </c>
      <c r="F69" s="18">
        <v>6.5877389365678538E-2</v>
      </c>
      <c r="G69" s="5"/>
      <c r="H69" s="18">
        <v>-0.20391512863107528</v>
      </c>
      <c r="I69" s="18">
        <v>6.5877389365678538E-2</v>
      </c>
    </row>
    <row r="70" spans="1:9" x14ac:dyDescent="0.3">
      <c r="A70" s="2">
        <v>1967</v>
      </c>
      <c r="B70" s="7">
        <v>33.83355167727025</v>
      </c>
      <c r="C70" s="7">
        <v>33.834040356228158</v>
      </c>
      <c r="D70" s="18">
        <v>39.46639696087513</v>
      </c>
      <c r="E70" s="10">
        <v>8.7840575431332724E-2</v>
      </c>
      <c r="F70" s="18">
        <v>-8.8003735510032974E-2</v>
      </c>
      <c r="G70" s="5"/>
      <c r="H70" s="18">
        <v>8.7840575431332724E-2</v>
      </c>
      <c r="I70" s="18">
        <v>-8.8003735510032974E-2</v>
      </c>
    </row>
    <row r="71" spans="1:9" x14ac:dyDescent="0.3">
      <c r="A71" s="2">
        <v>1968</v>
      </c>
      <c r="B71" s="7">
        <v>35.332979035249565</v>
      </c>
      <c r="C71" s="7">
        <v>35.333354463334736</v>
      </c>
      <c r="D71" s="18">
        <v>38.597643338070327</v>
      </c>
      <c r="E71" s="10">
        <v>-1.5709554171274637E-2</v>
      </c>
      <c r="F71" s="18">
        <v>-2.7374739540700119E-2</v>
      </c>
      <c r="G71" s="5"/>
      <c r="H71" s="18">
        <v>-1.5709554171274637E-2</v>
      </c>
      <c r="I71" s="18">
        <v>-2.7374739540700119E-2</v>
      </c>
    </row>
    <row r="72" spans="1:9" x14ac:dyDescent="0.3">
      <c r="A72" s="2">
        <v>1969</v>
      </c>
      <c r="B72" s="7">
        <v>34.51500995509911</v>
      </c>
      <c r="C72" s="7">
        <v>34.515387366545482</v>
      </c>
      <c r="D72" s="18">
        <v>39.383276349152453</v>
      </c>
      <c r="E72" s="10">
        <v>6.9487737040799885E-2</v>
      </c>
      <c r="F72" s="18">
        <v>0.20607417699386396</v>
      </c>
      <c r="G72" s="5"/>
      <c r="H72" s="18">
        <v>6.9487737040799885E-2</v>
      </c>
      <c r="I72" s="18">
        <v>0.20607417699386396</v>
      </c>
    </row>
    <row r="73" spans="1:9" x14ac:dyDescent="0.3">
      <c r="A73" s="2">
        <v>1970</v>
      </c>
      <c r="B73" s="7">
        <v>32.780226320993137</v>
      </c>
      <c r="C73" s="7">
        <v>32.780602369883319</v>
      </c>
      <c r="D73" s="18">
        <v>38.915353771192187</v>
      </c>
      <c r="E73" s="10">
        <v>-7.5475856684553963E-2</v>
      </c>
      <c r="F73" s="18">
        <v>5.7357370674520965E-2</v>
      </c>
      <c r="G73" s="5"/>
      <c r="H73" s="18">
        <v>-7.5475856684553963E-2</v>
      </c>
      <c r="I73" s="18">
        <v>5.7357370674520965E-2</v>
      </c>
    </row>
    <row r="74" spans="1:9" x14ac:dyDescent="0.3">
      <c r="A74" s="2">
        <v>1971</v>
      </c>
      <c r="B74" s="7">
        <v>36.677083104277045</v>
      </c>
      <c r="C74" s="7">
        <v>36.678037856317268</v>
      </c>
      <c r="D74" s="18">
        <v>38.429899362973103</v>
      </c>
      <c r="E74" s="10">
        <v>0.41521358920465384</v>
      </c>
      <c r="F74" s="18">
        <v>0.54637216816532641</v>
      </c>
      <c r="G74" s="5"/>
      <c r="H74" s="18">
        <v>0.41521358920465384</v>
      </c>
      <c r="I74" s="18">
        <v>0.54637216816532641</v>
      </c>
    </row>
    <row r="75" spans="1:9" x14ac:dyDescent="0.3">
      <c r="A75" s="2">
        <v>1972</v>
      </c>
      <c r="B75" s="7">
        <v>33.629351017915177</v>
      </c>
      <c r="C75" s="7">
        <v>33.630317783611311</v>
      </c>
      <c r="D75" s="18">
        <v>38.806687040516891</v>
      </c>
      <c r="E75" s="10">
        <v>0.35430851207558206</v>
      </c>
      <c r="F75" s="18">
        <v>0.39186435078282877</v>
      </c>
      <c r="G75" s="5"/>
      <c r="H75" s="18">
        <v>0.35430851207558206</v>
      </c>
      <c r="I75" s="18">
        <v>0.39186435078282877</v>
      </c>
    </row>
    <row r="76" spans="1:9" x14ac:dyDescent="0.3">
      <c r="A76" s="2">
        <v>1973</v>
      </c>
      <c r="B76" s="7">
        <v>36.866357594327631</v>
      </c>
      <c r="C76" s="7">
        <v>36.866944789938621</v>
      </c>
      <c r="D76" s="18">
        <v>36.979288950054801</v>
      </c>
      <c r="E76" s="10">
        <v>1.2957091682068732E-2</v>
      </c>
      <c r="F76" s="18">
        <v>0.18360191936387751</v>
      </c>
      <c r="G76" s="5"/>
      <c r="H76" s="18">
        <v>1.2957091682068732E-2</v>
      </c>
      <c r="I76" s="18">
        <v>0.18360191936387751</v>
      </c>
    </row>
    <row r="77" spans="1:9" x14ac:dyDescent="0.3">
      <c r="A77" s="2">
        <v>1974</v>
      </c>
      <c r="B77" s="7">
        <v>29.739078365774073</v>
      </c>
      <c r="C77" s="7">
        <v>29.740298646148453</v>
      </c>
      <c r="D77" s="18">
        <v>39.256360454959619</v>
      </c>
      <c r="E77" s="10">
        <v>0.23348604109519153</v>
      </c>
      <c r="F77" s="18">
        <v>0.12193929633888044</v>
      </c>
      <c r="G77" s="5"/>
      <c r="H77" s="18">
        <v>0.23348604109519153</v>
      </c>
      <c r="I77" s="18">
        <v>0.12193929633888044</v>
      </c>
    </row>
    <row r="78" spans="1:9" x14ac:dyDescent="0.3">
      <c r="A78" s="2">
        <v>1975</v>
      </c>
      <c r="B78" s="7">
        <v>37.298590566880321</v>
      </c>
      <c r="C78" s="7">
        <v>37.299368036918594</v>
      </c>
      <c r="D78" s="18">
        <v>37.24704625329349</v>
      </c>
      <c r="E78" s="10">
        <v>0.26221890407337722</v>
      </c>
      <c r="F78" s="18">
        <v>5.3802515827180541E-2</v>
      </c>
      <c r="G78" s="5"/>
      <c r="H78" s="18">
        <v>0.26221890407337722</v>
      </c>
      <c r="I78" s="18">
        <v>5.3802515827180541E-2</v>
      </c>
    </row>
    <row r="79" spans="1:9" x14ac:dyDescent="0.3">
      <c r="A79" s="2">
        <v>1976</v>
      </c>
      <c r="B79" s="7">
        <v>30.385781897440143</v>
      </c>
      <c r="C79" s="7">
        <v>30.387070395953071</v>
      </c>
      <c r="D79" s="18">
        <v>38.682476919151419</v>
      </c>
      <c r="E79" s="10">
        <v>-3.9107786882210269E-2</v>
      </c>
      <c r="F79" s="18">
        <v>0.130091623128432</v>
      </c>
      <c r="G79" s="5"/>
      <c r="H79" s="18">
        <v>-3.9107786882210269E-2</v>
      </c>
      <c r="I79" s="18">
        <v>0.130091623128432</v>
      </c>
    </row>
    <row r="80" spans="1:9" x14ac:dyDescent="0.3">
      <c r="A80" s="2">
        <v>1977</v>
      </c>
      <c r="B80" s="7">
        <v>22.808977384570568</v>
      </c>
      <c r="C80" s="7">
        <v>22.808994844934691</v>
      </c>
      <c r="D80" s="18">
        <v>39.527722673913061</v>
      </c>
      <c r="E80" s="10">
        <v>-0.57328061654300011</v>
      </c>
      <c r="F80" s="18">
        <v>-0.17794485986910366</v>
      </c>
      <c r="G80" s="5"/>
      <c r="H80" s="18">
        <v>-0.57328061654300011</v>
      </c>
      <c r="I80" s="18">
        <v>-0.17794485986910366</v>
      </c>
    </row>
    <row r="81" spans="1:9" x14ac:dyDescent="0.3">
      <c r="A81" s="2">
        <v>1978</v>
      </c>
      <c r="B81" s="7">
        <v>38.557384232248801</v>
      </c>
      <c r="C81" s="7">
        <v>38.558526174791794</v>
      </c>
      <c r="D81" s="18">
        <v>40.258706616618007</v>
      </c>
      <c r="E81" s="10">
        <v>8.0642437918293244E-2</v>
      </c>
      <c r="F81" s="18">
        <v>-0.27103382147992017</v>
      </c>
      <c r="G81" s="5"/>
      <c r="H81" s="18">
        <v>8.0642437918293244E-2</v>
      </c>
      <c r="I81" s="18">
        <v>-0.27103382147992017</v>
      </c>
    </row>
    <row r="82" spans="1:9" x14ac:dyDescent="0.3">
      <c r="A82" s="2">
        <v>1979</v>
      </c>
      <c r="B82" s="7">
        <v>25.215816907551591</v>
      </c>
      <c r="C82" s="7">
        <v>25.216191499205614</v>
      </c>
      <c r="D82" s="18">
        <v>38.321753503870873</v>
      </c>
      <c r="E82" s="10">
        <v>-0.19990314191087746</v>
      </c>
      <c r="F82" s="18">
        <v>-9.9249527026039647E-2</v>
      </c>
      <c r="G82" s="5"/>
      <c r="H82" s="18">
        <v>-0.19990314191087746</v>
      </c>
      <c r="I82" s="18">
        <v>-9.9249527026039647E-2</v>
      </c>
    </row>
    <row r="83" spans="1:9" x14ac:dyDescent="0.3">
      <c r="A83" s="2">
        <v>1980</v>
      </c>
      <c r="B83" s="7">
        <v>37.01248703539283</v>
      </c>
      <c r="C83" s="7">
        <v>37.012951653085139</v>
      </c>
      <c r="D83" s="18">
        <v>39.546084565470586</v>
      </c>
      <c r="E83" s="10">
        <v>9.2672094931649934E-2</v>
      </c>
      <c r="F83" s="18">
        <v>3.101470647098347E-2</v>
      </c>
      <c r="G83" s="5"/>
      <c r="H83" s="18">
        <v>9.2672094931649934E-2</v>
      </c>
      <c r="I83" s="18">
        <v>3.101470647098347E-2</v>
      </c>
    </row>
    <row r="84" spans="1:9" x14ac:dyDescent="0.3">
      <c r="A84" s="2">
        <v>1981</v>
      </c>
      <c r="B84" s="7">
        <v>25.994774645535816</v>
      </c>
      <c r="C84" s="7">
        <v>25.994795414666768</v>
      </c>
      <c r="D84" s="18">
        <v>42.121092859336343</v>
      </c>
      <c r="E84" s="10">
        <v>-0.28249719969574832</v>
      </c>
      <c r="F84" s="18">
        <v>-9.0233230983378473E-2</v>
      </c>
      <c r="G84" s="5"/>
      <c r="H84" s="18">
        <v>-0.28249719969574832</v>
      </c>
      <c r="I84" s="18">
        <v>-9.0233230983378473E-2</v>
      </c>
    </row>
    <row r="85" spans="1:9" x14ac:dyDescent="0.3">
      <c r="A85" s="2">
        <v>1982</v>
      </c>
      <c r="B85" s="7">
        <v>48.213079410385014</v>
      </c>
      <c r="C85" s="7">
        <v>48.213349900140649</v>
      </c>
      <c r="D85" s="18">
        <v>38.905145258521834</v>
      </c>
      <c r="E85" s="10">
        <v>0.37992065730826702</v>
      </c>
      <c r="F85" s="18">
        <v>-8.8198861339931198E-2</v>
      </c>
      <c r="G85" s="5"/>
      <c r="H85" s="18">
        <v>0.37992065730826702</v>
      </c>
      <c r="I85" s="18">
        <v>-8.8198861339931198E-2</v>
      </c>
    </row>
    <row r="86" spans="1:9" x14ac:dyDescent="0.3">
      <c r="A86" s="2">
        <v>1983</v>
      </c>
      <c r="B86" s="7">
        <v>40.672186799110889</v>
      </c>
      <c r="C86" s="7">
        <v>40.672324969254966</v>
      </c>
      <c r="D86" s="18">
        <v>38.790875945258072</v>
      </c>
      <c r="E86" s="10">
        <v>0.68217536904445053</v>
      </c>
      <c r="F86" s="18">
        <v>0.45517463792119905</v>
      </c>
      <c r="G86" s="5"/>
      <c r="H86" s="18">
        <v>0.68217536904445053</v>
      </c>
      <c r="I86" s="18">
        <v>0.45517463792119905</v>
      </c>
    </row>
    <row r="87" spans="1:9" x14ac:dyDescent="0.3">
      <c r="A87" s="2">
        <v>1984</v>
      </c>
      <c r="B87" s="7">
        <v>41.473713351318331</v>
      </c>
      <c r="C87" s="7">
        <v>41.47385702522223</v>
      </c>
      <c r="D87" s="18">
        <v>37.918302789933975</v>
      </c>
      <c r="E87" s="10">
        <v>0.75578901666510112</v>
      </c>
      <c r="F87" s="18">
        <v>0.67330547989585288</v>
      </c>
      <c r="G87" s="5"/>
      <c r="H87" s="18">
        <v>0.75578901666510112</v>
      </c>
      <c r="I87" s="18">
        <v>0.67330547989585288</v>
      </c>
    </row>
    <row r="88" spans="1:9" x14ac:dyDescent="0.3">
      <c r="A88" s="2">
        <v>1985</v>
      </c>
      <c r="B88" s="7">
        <v>32.366093702033098</v>
      </c>
      <c r="C88" s="7">
        <v>32.366032355950566</v>
      </c>
      <c r="D88" s="18">
        <v>37.484598372161273</v>
      </c>
      <c r="E88" s="10">
        <v>0.22344005615182766</v>
      </c>
      <c r="F88" s="18">
        <v>0.43142392432357413</v>
      </c>
      <c r="G88" s="5"/>
      <c r="H88" s="18">
        <v>0.22344005615182766</v>
      </c>
      <c r="I88" s="18">
        <v>0.43142392432357413</v>
      </c>
    </row>
    <row r="89" spans="1:9" x14ac:dyDescent="0.3">
      <c r="A89" s="2">
        <v>1986</v>
      </c>
      <c r="B89" s="7">
        <v>46.646425678731646</v>
      </c>
      <c r="C89" s="7">
        <v>46.646727733412106</v>
      </c>
      <c r="D89" s="18">
        <v>39.715497413805409</v>
      </c>
      <c r="E89" s="10">
        <v>0.88187330916758766</v>
      </c>
      <c r="F89" s="18">
        <v>0.31511885660649891</v>
      </c>
      <c r="G89" s="5"/>
      <c r="H89" s="18">
        <v>0.88187330916758766</v>
      </c>
      <c r="I89" s="18">
        <v>0.31511885660649891</v>
      </c>
    </row>
    <row r="90" spans="1:9" x14ac:dyDescent="0.3">
      <c r="A90" s="2">
        <v>1987</v>
      </c>
      <c r="B90" s="7">
        <v>24.435360815930601</v>
      </c>
      <c r="C90" s="7">
        <v>24.435155535949928</v>
      </c>
      <c r="D90" s="18">
        <v>39.427920467851273</v>
      </c>
      <c r="E90" s="10">
        <v>-0.25191315244010137</v>
      </c>
      <c r="F90" s="18">
        <v>0.31258876136992614</v>
      </c>
      <c r="G90" s="5"/>
      <c r="H90" s="18">
        <v>-0.25191315244010137</v>
      </c>
      <c r="I90" s="18">
        <v>0.31258876136992614</v>
      </c>
    </row>
    <row r="91" spans="1:9" x14ac:dyDescent="0.3">
      <c r="A91" s="2">
        <v>1988</v>
      </c>
      <c r="B91" s="7">
        <v>21.940651284380039</v>
      </c>
      <c r="C91" s="7">
        <v>21.940900535431119</v>
      </c>
      <c r="D91" s="18">
        <v>39.795179989203817</v>
      </c>
      <c r="E91" s="10">
        <v>-0.41539619068400718</v>
      </c>
      <c r="F91" s="18">
        <v>-0.12404604905000451</v>
      </c>
      <c r="G91" s="5"/>
      <c r="H91" s="18">
        <v>-0.41539619068400718</v>
      </c>
      <c r="I91" s="18">
        <v>-0.12404604905000451</v>
      </c>
    </row>
    <row r="92" spans="1:9" x14ac:dyDescent="0.3">
      <c r="A92" s="2">
        <v>1989</v>
      </c>
      <c r="B92" s="7">
        <v>29.765908051095209</v>
      </c>
      <c r="C92" s="7">
        <v>29.76628013102394</v>
      </c>
      <c r="D92" s="18">
        <v>39.770896106882454</v>
      </c>
      <c r="E92" s="10">
        <v>-0.24550248841533395</v>
      </c>
      <c r="F92" s="18">
        <v>-0.19967238028228015</v>
      </c>
      <c r="G92" s="5"/>
      <c r="H92" s="18">
        <v>-0.24550248841533395</v>
      </c>
      <c r="I92" s="18">
        <v>-0.19967238028228015</v>
      </c>
    </row>
    <row r="93" spans="1:9" x14ac:dyDescent="0.3">
      <c r="A93" s="2">
        <v>1990</v>
      </c>
      <c r="B93" s="7">
        <v>25.932260879882048</v>
      </c>
      <c r="C93" s="7">
        <v>25.932041554970056</v>
      </c>
      <c r="D93" s="18">
        <v>40.359477836400849</v>
      </c>
      <c r="E93" s="10">
        <v>-0.40651054095159744</v>
      </c>
      <c r="F93" s="18">
        <v>-0.17257064648026396</v>
      </c>
      <c r="G93" s="5"/>
      <c r="H93" s="18">
        <v>-0.40651054095159744</v>
      </c>
      <c r="I93" s="18">
        <v>-0.17257064648026396</v>
      </c>
    </row>
    <row r="94" spans="1:9" x14ac:dyDescent="0.3">
      <c r="A94" s="2">
        <v>1991</v>
      </c>
      <c r="B94" s="7">
        <v>31.465794643978096</v>
      </c>
      <c r="C94" s="7">
        <v>31.465709806855539</v>
      </c>
      <c r="D94" s="18">
        <v>38.408876846201984</v>
      </c>
      <c r="E94" s="10">
        <v>-0.28962262617827844</v>
      </c>
      <c r="F94" s="18">
        <v>-0.34867988683125317</v>
      </c>
      <c r="G94" s="5"/>
      <c r="H94" s="18">
        <v>-0.28962262617827844</v>
      </c>
      <c r="I94" s="18">
        <v>-0.34867988683125317</v>
      </c>
    </row>
    <row r="95" spans="1:9" x14ac:dyDescent="0.3">
      <c r="A95" s="2">
        <v>1992</v>
      </c>
      <c r="B95" s="7">
        <v>22.745169048037049</v>
      </c>
      <c r="C95" s="7">
        <v>22.745398044038698</v>
      </c>
      <c r="D95" s="18">
        <v>41.059676662556726</v>
      </c>
      <c r="E95" s="10">
        <v>-0.52818369597414072</v>
      </c>
      <c r="F95" s="18">
        <v>-0.20117079338950655</v>
      </c>
      <c r="G95" s="5"/>
      <c r="H95" s="18">
        <v>-0.52818369597414072</v>
      </c>
      <c r="I95" s="18">
        <v>-0.20117079338950655</v>
      </c>
    </row>
    <row r="96" spans="1:9" x14ac:dyDescent="0.3">
      <c r="A96" s="2">
        <v>1993</v>
      </c>
      <c r="B96" s="7">
        <v>39.095438824912925</v>
      </c>
      <c r="C96" s="7">
        <v>39.095769207481098</v>
      </c>
      <c r="D96" s="18">
        <v>37.523127955692061</v>
      </c>
      <c r="E96" s="10">
        <v>0.12726338392331057</v>
      </c>
      <c r="F96" s="18">
        <v>-0.35620343829433232</v>
      </c>
      <c r="G96" s="5"/>
      <c r="H96" s="18">
        <v>0.12726338392331057</v>
      </c>
      <c r="I96" s="18">
        <v>-0.35620343829433232</v>
      </c>
    </row>
    <row r="97" spans="1:9" x14ac:dyDescent="0.3">
      <c r="A97" s="2">
        <v>1994</v>
      </c>
      <c r="B97" s="7">
        <v>24.889995599274336</v>
      </c>
      <c r="C97" s="7">
        <v>24.890009567344379</v>
      </c>
      <c r="D97" s="18">
        <v>41.159080211018626</v>
      </c>
      <c r="E97" s="10">
        <v>-0.34377511046851272</v>
      </c>
      <c r="F97" s="18">
        <v>-0.11323194509602015</v>
      </c>
      <c r="G97" s="5"/>
      <c r="H97" s="18">
        <v>-0.34377511046851272</v>
      </c>
      <c r="I97" s="18">
        <v>-0.11323194509602015</v>
      </c>
    </row>
    <row r="98" spans="1:9" x14ac:dyDescent="0.3">
      <c r="A98" s="2">
        <v>1995</v>
      </c>
      <c r="B98" s="7">
        <v>39.656480386565192</v>
      </c>
      <c r="C98" s="7">
        <v>39.656528589465459</v>
      </c>
      <c r="D98" s="18">
        <v>38.996438386825709</v>
      </c>
      <c r="E98" s="10">
        <v>0.21439776434406851</v>
      </c>
      <c r="F98" s="18">
        <v>-0.15320469964598871</v>
      </c>
      <c r="G98" s="5"/>
      <c r="H98" s="18">
        <v>0.21439776434406851</v>
      </c>
      <c r="I98" s="18">
        <v>-0.15320469964598871</v>
      </c>
    </row>
    <row r="99" spans="1:9" x14ac:dyDescent="0.3">
      <c r="A99" s="2">
        <v>1996</v>
      </c>
      <c r="B99" s="7">
        <v>33.361225908729033</v>
      </c>
      <c r="C99" s="7">
        <v>33.361975068974687</v>
      </c>
      <c r="D99" s="18">
        <v>40.484172125503072</v>
      </c>
      <c r="E99" s="10">
        <v>0.12363266108149897</v>
      </c>
      <c r="F99" s="18">
        <v>3.9342416453229563E-2</v>
      </c>
      <c r="G99" s="5"/>
      <c r="H99" s="18">
        <v>0.12363266108149897</v>
      </c>
      <c r="I99" s="18">
        <v>3.9342416453229563E-2</v>
      </c>
    </row>
    <row r="100" spans="1:9" x14ac:dyDescent="0.3">
      <c r="A100" s="2">
        <v>1997</v>
      </c>
      <c r="B100" s="7">
        <v>43.503253243625196</v>
      </c>
      <c r="C100" s="7">
        <v>43.503789125371512</v>
      </c>
      <c r="D100" s="18">
        <v>39.457240030002254</v>
      </c>
      <c r="E100" s="10">
        <v>0.48345795666636276</v>
      </c>
      <c r="F100" s="18">
        <v>0.31594511989262769</v>
      </c>
      <c r="G100" s="5"/>
      <c r="H100" s="18">
        <v>0.48345795666636276</v>
      </c>
      <c r="I100" s="18">
        <v>0.31594511989262769</v>
      </c>
    </row>
    <row r="101" spans="1:9" x14ac:dyDescent="0.3">
      <c r="A101" s="2">
        <v>1998</v>
      </c>
      <c r="B101" s="7">
        <v>37.088243310714581</v>
      </c>
      <c r="C101" s="7">
        <v>37.088107074733884</v>
      </c>
      <c r="D101" s="18">
        <v>39.62499982421059</v>
      </c>
      <c r="E101" s="10">
        <v>0.37048441088158152</v>
      </c>
      <c r="F101" s="18">
        <v>0.19696794814350027</v>
      </c>
      <c r="G101" s="5"/>
      <c r="H101" s="18">
        <v>0.37048441088158152</v>
      </c>
      <c r="I101" s="18">
        <v>0.19696794814350027</v>
      </c>
    </row>
    <row r="102" spans="1:9" x14ac:dyDescent="0.3">
      <c r="A102" s="2">
        <v>1999</v>
      </c>
      <c r="B102" s="7">
        <v>34.826714320643497</v>
      </c>
      <c r="C102" s="7">
        <v>34.827224403109597</v>
      </c>
      <c r="D102" s="18">
        <v>39.384285519129165</v>
      </c>
      <c r="E102" s="10">
        <v>0.35077311467953953</v>
      </c>
      <c r="F102" s="18">
        <v>0.22644451337686322</v>
      </c>
      <c r="G102" s="5"/>
      <c r="H102" s="18">
        <v>0.35077311467953953</v>
      </c>
      <c r="I102" s="18">
        <v>0.22644451337686322</v>
      </c>
    </row>
    <row r="103" spans="1:9" x14ac:dyDescent="0.3">
      <c r="A103" s="2">
        <v>2000</v>
      </c>
      <c r="B103" s="7">
        <v>25.385256365394305</v>
      </c>
      <c r="C103" s="7">
        <v>25.385314739191248</v>
      </c>
      <c r="D103" s="18">
        <v>42.398191121300229</v>
      </c>
      <c r="E103" s="10">
        <v>-0.23630076346558354</v>
      </c>
      <c r="F103" s="18">
        <v>0.13379596837498889</v>
      </c>
      <c r="G103" s="5"/>
      <c r="H103" s="18">
        <v>-0.23630076346558354</v>
      </c>
      <c r="I103" s="18">
        <v>0.13379596837498889</v>
      </c>
    </row>
    <row r="104" spans="1:9" x14ac:dyDescent="0.3">
      <c r="A104" s="2">
        <v>2001</v>
      </c>
      <c r="B104" s="7">
        <v>23.084082123876325</v>
      </c>
      <c r="C104" s="7">
        <v>23.083999434812583</v>
      </c>
      <c r="D104" s="18">
        <v>40.490232429513313</v>
      </c>
      <c r="E104" s="10">
        <v>-0.41494741683692188</v>
      </c>
      <c r="F104" s="18">
        <v>-0.18112693805811889</v>
      </c>
      <c r="G104" s="5"/>
      <c r="H104" s="18">
        <v>-0.41494741683692188</v>
      </c>
      <c r="I104" s="18">
        <v>-0.18112693805811889</v>
      </c>
    </row>
    <row r="105" spans="1:9" x14ac:dyDescent="0.3">
      <c r="A105" s="2">
        <v>2002</v>
      </c>
      <c r="B105" s="7">
        <v>27.189259752829837</v>
      </c>
      <c r="C105" s="7">
        <v>27.189466472812072</v>
      </c>
      <c r="D105" s="18">
        <v>40.050214101512125</v>
      </c>
      <c r="E105" s="10">
        <v>-0.42396090895208888</v>
      </c>
      <c r="F105" s="18">
        <v>-0.28764852012434311</v>
      </c>
      <c r="G105" s="5"/>
      <c r="H105" s="18">
        <v>-0.42396090895208888</v>
      </c>
      <c r="I105" s="18">
        <v>-0.28764852012434311</v>
      </c>
    </row>
    <row r="106" spans="1:9" x14ac:dyDescent="0.3">
      <c r="A106" s="2">
        <v>2003</v>
      </c>
      <c r="B106" s="7">
        <v>25.606017460896386</v>
      </c>
      <c r="C106" s="7">
        <v>25.606653383917443</v>
      </c>
      <c r="D106" s="18">
        <v>41.357136946927156</v>
      </c>
      <c r="E106" s="10">
        <v>-0.3854644107397433</v>
      </c>
      <c r="F106" s="18">
        <v>-0.23210390498610584</v>
      </c>
      <c r="G106" s="5"/>
      <c r="H106" s="18">
        <v>-0.3854644107397433</v>
      </c>
      <c r="I106" s="18">
        <v>-0.23210390498610584</v>
      </c>
    </row>
    <row r="107" spans="1:9" x14ac:dyDescent="0.3">
      <c r="A107" s="2">
        <v>2004</v>
      </c>
      <c r="B107" s="7">
        <v>28.577541242925559</v>
      </c>
      <c r="C107" s="7">
        <v>28.578123438755465</v>
      </c>
      <c r="D107" s="18">
        <v>40.467454860366004</v>
      </c>
      <c r="E107" s="10">
        <v>-0.4152360090618557</v>
      </c>
      <c r="F107" s="18">
        <v>-0.25220540612003961</v>
      </c>
      <c r="G107" s="5"/>
      <c r="H107" s="18">
        <v>-0.4152360090618557</v>
      </c>
      <c r="I107" s="18">
        <v>-0.25220540612003961</v>
      </c>
    </row>
    <row r="108" spans="1:9" x14ac:dyDescent="0.3">
      <c r="A108" s="2">
        <v>2005</v>
      </c>
      <c r="B108" s="7">
        <v>36.676841654430099</v>
      </c>
      <c r="C108" s="7">
        <v>36.676340653740588</v>
      </c>
      <c r="D108" s="18">
        <v>40.661833748399012</v>
      </c>
      <c r="E108" s="10">
        <v>9.0296657015042608E-2</v>
      </c>
      <c r="F108" s="18">
        <v>-0.10904896830188146</v>
      </c>
      <c r="G108" s="5"/>
      <c r="H108" s="18">
        <v>9.0296657015042608E-2</v>
      </c>
      <c r="I108" s="18">
        <v>-0.10904896830188146</v>
      </c>
    </row>
    <row r="109" spans="1:9" x14ac:dyDescent="0.3">
      <c r="A109" s="2">
        <v>2006</v>
      </c>
      <c r="B109" s="7">
        <v>36.29465050258419</v>
      </c>
      <c r="C109" s="7">
        <v>36.294977324857335</v>
      </c>
      <c r="D109" s="18">
        <v>40.868714946233872</v>
      </c>
      <c r="E109" s="10">
        <v>7.6907642525249759E-2</v>
      </c>
      <c r="F109" s="18">
        <v>-1.3695385030431789E-3</v>
      </c>
      <c r="G109" s="5"/>
      <c r="H109" s="18">
        <v>7.6907642525249759E-2</v>
      </c>
      <c r="I109" s="18">
        <v>-1.3695385030431789E-3</v>
      </c>
    </row>
    <row r="110" spans="1:9" x14ac:dyDescent="0.3">
      <c r="A110" s="2">
        <v>2007</v>
      </c>
      <c r="B110" s="7">
        <v>26.102318628599694</v>
      </c>
      <c r="C110" s="7">
        <v>26.102416192910962</v>
      </c>
      <c r="D110" s="18">
        <v>41.746354160300854</v>
      </c>
      <c r="E110" s="10">
        <v>-0.33950543816559065</v>
      </c>
      <c r="F110" s="18">
        <v>-5.8290183524633638E-2</v>
      </c>
      <c r="G110" s="5"/>
      <c r="H110" s="18">
        <v>-0.33950543816559065</v>
      </c>
      <c r="I110" s="18">
        <v>-5.8290183524633638E-2</v>
      </c>
    </row>
    <row r="111" spans="1:9" x14ac:dyDescent="0.3">
      <c r="A111" s="2">
        <v>2008</v>
      </c>
      <c r="B111" s="7">
        <v>30.440604014754893</v>
      </c>
      <c r="C111" s="7">
        <v>30.440776286536057</v>
      </c>
      <c r="D111" s="18">
        <v>38.713525624014302</v>
      </c>
      <c r="E111" s="10">
        <v>-0.14263352243056754</v>
      </c>
      <c r="F111" s="18">
        <v>-0.2542173273059799</v>
      </c>
      <c r="G111" s="5"/>
      <c r="H111" s="18">
        <v>-0.14263352243056754</v>
      </c>
      <c r="I111" s="18">
        <v>-0.2542173273059799</v>
      </c>
    </row>
    <row r="112" spans="1:9" x14ac:dyDescent="0.3">
      <c r="A112" s="2">
        <v>2009</v>
      </c>
      <c r="B112" s="7">
        <v>34.465179502942874</v>
      </c>
      <c r="C112" s="7">
        <v>34.465575440820324</v>
      </c>
      <c r="D112" s="18">
        <v>40.584550394036583</v>
      </c>
      <c r="E112" s="10">
        <v>2.2530937855774195E-2</v>
      </c>
      <c r="F112" s="18">
        <v>-0.1141042841479577</v>
      </c>
      <c r="G112" s="5"/>
      <c r="H112" s="18">
        <v>2.2530937855774195E-2</v>
      </c>
      <c r="I112" s="18">
        <v>-0.1141042841479577</v>
      </c>
    </row>
    <row r="113" spans="1:9" x14ac:dyDescent="0.3">
      <c r="A113" s="2">
        <v>2010</v>
      </c>
      <c r="B113" s="7">
        <v>29.025331295799827</v>
      </c>
      <c r="C113" s="7">
        <v>29.025541886565772</v>
      </c>
      <c r="D113" s="18">
        <v>38.881368129138068</v>
      </c>
      <c r="E113" s="10">
        <v>-0.22560448587481377</v>
      </c>
      <c r="F113" s="18">
        <v>-0.16960477579763347</v>
      </c>
      <c r="G113" s="5"/>
      <c r="H113" s="18">
        <v>-0.22560448587481377</v>
      </c>
      <c r="I113" s="18">
        <v>-0.16960477579763347</v>
      </c>
    </row>
    <row r="114" spans="1:9" x14ac:dyDescent="0.3">
      <c r="A114" s="2">
        <v>2011</v>
      </c>
      <c r="B114" s="7">
        <v>45.938537214138748</v>
      </c>
      <c r="C114" s="7">
        <v>45.938526076263464</v>
      </c>
      <c r="D114" s="18">
        <v>39.274814473362902</v>
      </c>
      <c r="E114" s="10">
        <v>0.74970087827093601</v>
      </c>
      <c r="F114" s="18">
        <v>0.1054421233062149</v>
      </c>
      <c r="G114" s="5"/>
      <c r="H114" s="18">
        <v>0.74970087827093601</v>
      </c>
      <c r="I114" s="18">
        <v>0.1054421233062149</v>
      </c>
    </row>
    <row r="115" spans="1:9" x14ac:dyDescent="0.3">
      <c r="A115" s="2">
        <v>2012</v>
      </c>
      <c r="B115" s="7">
        <v>23.351655465552501</v>
      </c>
      <c r="C115" s="7">
        <v>23.351898844775011</v>
      </c>
      <c r="D115" s="18">
        <v>41.803563136964556</v>
      </c>
      <c r="E115" s="10">
        <v>-0.29959595870520106</v>
      </c>
      <c r="F115" s="18">
        <v>0.25072693934167284</v>
      </c>
      <c r="G115" s="5"/>
      <c r="H115" s="18">
        <v>-0.29959595870520106</v>
      </c>
      <c r="I115" s="18">
        <v>0.25072693934167284</v>
      </c>
    </row>
    <row r="116" spans="1:9" x14ac:dyDescent="0.3">
      <c r="A116" s="2">
        <v>2013</v>
      </c>
      <c r="B116" s="7">
        <v>26.764509071360841</v>
      </c>
      <c r="C116" s="7">
        <v>26.764693755161932</v>
      </c>
      <c r="D116" s="18">
        <v>40.762310018189169</v>
      </c>
      <c r="E116" s="10">
        <v>-0.42956724556473064</v>
      </c>
      <c r="F116" s="18">
        <v>-0.22555788290627871</v>
      </c>
      <c r="G116" s="5"/>
      <c r="H116" s="18">
        <v>-0.42956724556473064</v>
      </c>
      <c r="I116" s="18">
        <v>-0.22555788290627871</v>
      </c>
    </row>
    <row r="117" spans="1:9" x14ac:dyDescent="0.3">
      <c r="A117" s="2">
        <v>2014</v>
      </c>
      <c r="B117" s="7">
        <v>34.559452329661411</v>
      </c>
      <c r="C117" s="7">
        <v>34.559786230990547</v>
      </c>
      <c r="D117" s="18">
        <v>40.496116732075677</v>
      </c>
      <c r="E117" s="10">
        <v>-0.23558209620622586</v>
      </c>
      <c r="F117" s="18">
        <v>-0.29806229167591652</v>
      </c>
      <c r="G117" s="5"/>
      <c r="H117" s="18">
        <v>-0.23558209620622586</v>
      </c>
      <c r="I117" s="18">
        <v>-0.29806229167591652</v>
      </c>
    </row>
    <row r="118" spans="1:9" x14ac:dyDescent="0.3">
      <c r="A118" s="2">
        <v>2015</v>
      </c>
      <c r="B118" s="7">
        <v>26.431094018059785</v>
      </c>
      <c r="C118" s="7">
        <v>26.431379898280845</v>
      </c>
      <c r="D118" s="18">
        <v>42.929054553780425</v>
      </c>
      <c r="E118" s="10">
        <v>-0.34961955097279596</v>
      </c>
      <c r="F118" s="18">
        <v>-0.16145144992509183</v>
      </c>
      <c r="G118" s="5"/>
      <c r="H118" s="18">
        <v>-0.34961955097279596</v>
      </c>
      <c r="I118" s="18">
        <v>-0.16145144992509183</v>
      </c>
    </row>
    <row r="119" spans="1:9" x14ac:dyDescent="0.3">
      <c r="A119" s="2">
        <v>2016</v>
      </c>
      <c r="B119" s="7">
        <v>30.34531483607298</v>
      </c>
      <c r="C119" s="7">
        <v>30.345268162627232</v>
      </c>
      <c r="D119" s="18">
        <v>41.578377378668932</v>
      </c>
      <c r="E119" s="10">
        <v>-0.22159234958188037</v>
      </c>
      <c r="F119" s="18">
        <v>-0.28969273082603703</v>
      </c>
      <c r="G119" s="5"/>
      <c r="H119" s="18">
        <v>-0.22159234958188037</v>
      </c>
      <c r="I119" s="18">
        <v>-0.28969273082603703</v>
      </c>
    </row>
    <row r="120" spans="1:9" x14ac:dyDescent="0.3">
      <c r="A120" s="2">
        <v>2017</v>
      </c>
      <c r="B120" s="7">
        <v>42.250908466884681</v>
      </c>
      <c r="C120" s="7">
        <v>42.251320575071034</v>
      </c>
      <c r="D120" s="18">
        <v>41.801643748213678</v>
      </c>
      <c r="E120" s="10">
        <v>0.43192416497483355</v>
      </c>
      <c r="F120" s="18">
        <v>-1.1112213027958348E-2</v>
      </c>
      <c r="G120" s="5"/>
      <c r="H120" s="18">
        <v>0.43192416497483355</v>
      </c>
      <c r="I120" s="18">
        <v>-1.1112213027958348E-2</v>
      </c>
    </row>
    <row r="121" spans="1:9" x14ac:dyDescent="0.3">
      <c r="A121" s="2">
        <v>2018</v>
      </c>
      <c r="B121" s="7">
        <v>21.671654837634634</v>
      </c>
      <c r="C121" s="7">
        <v>21.67248388855187</v>
      </c>
      <c r="D121" s="18">
        <v>42.600452504960245</v>
      </c>
      <c r="E121" s="10">
        <v>-0.28414838578130075</v>
      </c>
      <c r="F121" s="18">
        <v>6.2372129312850168E-2</v>
      </c>
      <c r="G121" s="5"/>
      <c r="H121" s="18">
        <v>-0.28414838578130075</v>
      </c>
      <c r="I121" s="18">
        <v>6.2372129312850168E-2</v>
      </c>
    </row>
    <row r="122" spans="1:9" x14ac:dyDescent="0.3">
      <c r="A122" s="2">
        <v>2019</v>
      </c>
      <c r="B122" s="7">
        <v>35.912353629110569</v>
      </c>
      <c r="C122" s="7">
        <v>35.911909455724654</v>
      </c>
      <c r="D122" s="18">
        <v>39.480311913241351</v>
      </c>
      <c r="E122" s="10">
        <v>1.2713920084249828E-2</v>
      </c>
      <c r="F122" s="18">
        <v>-0.17502037435398532</v>
      </c>
      <c r="G122" s="5"/>
      <c r="H122" s="18">
        <v>1.2713920084249828E-2</v>
      </c>
      <c r="I122" s="18">
        <v>-0.17502037435398532</v>
      </c>
    </row>
    <row r="123" spans="1:9" x14ac:dyDescent="0.3">
      <c r="A123" s="2">
        <v>2020</v>
      </c>
      <c r="B123" s="7">
        <v>25.213366472831488</v>
      </c>
      <c r="C123" s="7">
        <v>25.213843377114483</v>
      </c>
      <c r="D123" s="18">
        <v>40.210902630254026</v>
      </c>
      <c r="E123" s="10">
        <v>-0.23112426778365019</v>
      </c>
      <c r="F123" s="18">
        <v>-0.12354037295251453</v>
      </c>
      <c r="G123" s="5"/>
      <c r="H123" s="18">
        <v>-0.23112426778365019</v>
      </c>
      <c r="I123" s="18">
        <v>-0.12354037295251453</v>
      </c>
    </row>
    <row r="124" spans="1:9" x14ac:dyDescent="0.3">
      <c r="A124" s="2">
        <v>2021</v>
      </c>
      <c r="B124" s="7">
        <v>23.241442912962377</v>
      </c>
      <c r="C124" s="7">
        <v>23.241726849299543</v>
      </c>
      <c r="D124" s="18">
        <v>42.016251570244854</v>
      </c>
      <c r="E124" s="10">
        <v>-0.55692545920556802</v>
      </c>
      <c r="F124" s="18">
        <v>-0.33092798143590907</v>
      </c>
      <c r="G124" s="5"/>
      <c r="H124" s="18">
        <v>-0.55692545920556802</v>
      </c>
      <c r="I124" s="18">
        <v>-0.33092798143590907</v>
      </c>
    </row>
    <row r="125" spans="1:9" x14ac:dyDescent="0.3">
      <c r="A125" s="2">
        <v>2022</v>
      </c>
      <c r="B125" s="7">
        <v>29.438915688901602</v>
      </c>
      <c r="C125" s="7">
        <v>29.439140076742891</v>
      </c>
      <c r="D125" s="18">
        <v>41.57321454037173</v>
      </c>
      <c r="E125" s="10">
        <v>-0.38929904188440762</v>
      </c>
      <c r="F125" s="18">
        <v>-0.2036634617973323</v>
      </c>
      <c r="G125" s="5"/>
      <c r="H125" s="18">
        <v>-0.38929904188440762</v>
      </c>
      <c r="I125" s="18">
        <v>-0.2036634617973323</v>
      </c>
    </row>
    <row r="126" spans="1:9" x14ac:dyDescent="0.3">
      <c r="A126" s="2">
        <v>2023</v>
      </c>
      <c r="B126" s="7">
        <v>39.702737430223209</v>
      </c>
      <c r="C126" s="7">
        <v>44.727976251469578</v>
      </c>
      <c r="D126" s="18">
        <v>38.54696507979817</v>
      </c>
      <c r="E126" s="10">
        <v>0.2092056726526115</v>
      </c>
      <c r="F126" s="18">
        <v>-0.22932967268482751</v>
      </c>
      <c r="G126" s="5"/>
      <c r="H126" s="18">
        <v>0.2092056726526115</v>
      </c>
      <c r="I126" s="18">
        <v>-0.22932967268482751</v>
      </c>
    </row>
    <row r="127" spans="1:9" x14ac:dyDescent="0.3">
      <c r="A127" s="2">
        <v>2024</v>
      </c>
      <c r="B127" s="7">
        <v>30.641934159652699</v>
      </c>
      <c r="C127" s="7">
        <v>30.652259824893015</v>
      </c>
      <c r="D127" s="18">
        <v>41.413917518304878</v>
      </c>
      <c r="E127" s="10">
        <v>-2.1830329821253824E-2</v>
      </c>
      <c r="F127" s="18">
        <v>-6.4541163914320979E-2</v>
      </c>
      <c r="G127" s="5"/>
      <c r="H127" s="18">
        <v>-2.1830329821253824E-2</v>
      </c>
      <c r="I127" s="18">
        <v>-6.4541163914320979E-2</v>
      </c>
    </row>
    <row r="128" spans="1:9" x14ac:dyDescent="0.3">
      <c r="A128" s="2">
        <v>2025</v>
      </c>
      <c r="B128" s="7">
        <v>25.145405957367132</v>
      </c>
      <c r="C128" s="7">
        <v>25.145405957367132</v>
      </c>
      <c r="D128" s="18">
        <v>41.677325371696178</v>
      </c>
      <c r="E128" s="10">
        <v>-0.3670444563235763</v>
      </c>
      <c r="F128" s="18">
        <v>-0.17630893761357022</v>
      </c>
      <c r="G128" s="5"/>
      <c r="H128" s="18">
        <v>-0.33863222599999998</v>
      </c>
      <c r="I128" s="18">
        <v>-0.13483261599999999</v>
      </c>
    </row>
  </sheetData>
  <mergeCells count="7">
    <mergeCell ref="H1:H3"/>
    <mergeCell ref="I1:I3"/>
    <mergeCell ref="B1:B3"/>
    <mergeCell ref="C1:C3"/>
    <mergeCell ref="D1:D3"/>
    <mergeCell ref="E1:E3"/>
    <mergeCell ref="F1:F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3514-D45F-9C4C-94A9-00D2E3FDF504}">
  <dimension ref="A1:Z132"/>
  <sheetViews>
    <sheetView topLeftCell="A16" zoomScale="81" zoomScaleNormal="125" workbookViewId="0">
      <selection activeCell="A129" sqref="A129:XFD129"/>
    </sheetView>
  </sheetViews>
  <sheetFormatPr defaultColWidth="10.796875" defaultRowHeight="15.6" x14ac:dyDescent="0.3"/>
  <cols>
    <col min="1" max="1" width="13" style="2" bestFit="1" customWidth="1"/>
    <col min="2" max="4" width="10.796875" style="2"/>
    <col min="5" max="5" width="11" style="2" customWidth="1"/>
    <col min="6" max="6" width="10.796875" style="2"/>
    <col min="7" max="7" width="11" style="2" customWidth="1"/>
    <col min="8" max="8" width="10.796875" style="2"/>
    <col min="9" max="15" width="11" style="2" customWidth="1"/>
    <col min="16" max="17" width="10.796875" style="2"/>
    <col min="18" max="18" width="14.796875" style="2" bestFit="1" customWidth="1"/>
    <col min="19" max="19" width="30.296875" style="2" customWidth="1"/>
    <col min="20" max="20" width="20.296875" style="2" bestFit="1" customWidth="1"/>
    <col min="21" max="21" width="20.296875" style="2" customWidth="1"/>
    <col min="22" max="22" width="40.69921875" style="2" bestFit="1" customWidth="1"/>
    <col min="23" max="24" width="10.796875" style="2"/>
    <col min="25" max="25" width="11.69921875" style="2" bestFit="1" customWidth="1"/>
    <col min="26" max="16384" width="10.796875" style="2"/>
  </cols>
  <sheetData>
    <row r="1" spans="1:26" x14ac:dyDescent="0.3">
      <c r="B1" s="31" t="s">
        <v>16</v>
      </c>
      <c r="C1" s="31"/>
      <c r="D1" s="31"/>
      <c r="E1" s="31"/>
      <c r="F1" s="31"/>
      <c r="G1" s="31"/>
      <c r="H1" s="31"/>
      <c r="I1" s="31" t="s">
        <v>17</v>
      </c>
      <c r="J1" s="31"/>
      <c r="K1" s="31"/>
      <c r="L1" s="31"/>
      <c r="M1" s="31"/>
      <c r="N1" s="31"/>
      <c r="O1" s="31" t="s">
        <v>18</v>
      </c>
      <c r="P1" s="31"/>
      <c r="Q1" s="31"/>
      <c r="R1" s="2" t="s">
        <v>24</v>
      </c>
      <c r="S1" s="30" t="s">
        <v>33</v>
      </c>
      <c r="T1" s="1"/>
      <c r="U1" s="1"/>
    </row>
    <row r="2" spans="1:26" x14ac:dyDescent="0.3">
      <c r="A2" s="2" t="s">
        <v>19</v>
      </c>
      <c r="B2" s="3">
        <v>45736780000000</v>
      </c>
      <c r="C2" s="3">
        <v>18702910000000</v>
      </c>
      <c r="D2" s="3">
        <v>47524750000000</v>
      </c>
      <c r="E2" s="3">
        <v>134171300000000</v>
      </c>
      <c r="F2" s="3">
        <v>56157330000000</v>
      </c>
      <c r="G2" s="3">
        <v>129152700000000</v>
      </c>
      <c r="H2" s="3">
        <v>70686060000000</v>
      </c>
      <c r="I2" s="3">
        <v>131276500000000</v>
      </c>
      <c r="J2" s="3">
        <v>423253600000000</v>
      </c>
      <c r="K2" s="3">
        <v>680367800000000</v>
      </c>
      <c r="L2" s="3">
        <v>554497600000000</v>
      </c>
      <c r="M2" s="3">
        <v>451295900000000</v>
      </c>
      <c r="N2" s="3">
        <v>160663000000000</v>
      </c>
      <c r="O2" s="3">
        <v>420030100000000</v>
      </c>
      <c r="P2" s="3">
        <v>355771100000000</v>
      </c>
      <c r="Q2" s="3">
        <v>643761000000000</v>
      </c>
      <c r="R2" s="8">
        <f>SUM(B2:Q2)</f>
        <v>4323048430000000</v>
      </c>
      <c r="S2" s="30"/>
      <c r="T2" s="1"/>
      <c r="U2" s="1"/>
      <c r="Y2" s="2" t="s">
        <v>22</v>
      </c>
    </row>
    <row r="3" spans="1:26" x14ac:dyDescent="0.3">
      <c r="A3" s="2" t="s">
        <v>44</v>
      </c>
      <c r="B3" s="6">
        <f>B2/$R$2</f>
        <v>1.0579751936760052E-2</v>
      </c>
      <c r="C3" s="6">
        <f>C2/$R$2</f>
        <v>4.3263244219542548E-3</v>
      </c>
      <c r="D3" s="6">
        <f>D2/$R$2</f>
        <v>1.0993342029249484E-2</v>
      </c>
      <c r="E3" s="6">
        <f t="shared" ref="E3:Q3" si="0">E2/$R$2</f>
        <v>3.1036270394037661E-2</v>
      </c>
      <c r="F3" s="6">
        <f t="shared" si="0"/>
        <v>1.299021533284095E-2</v>
      </c>
      <c r="G3" s="6">
        <f t="shared" si="0"/>
        <v>2.9875376621677125E-2</v>
      </c>
      <c r="H3" s="6">
        <f t="shared" si="0"/>
        <v>1.635097573958939E-2</v>
      </c>
      <c r="I3" s="6">
        <f t="shared" si="0"/>
        <v>3.0366650322258822E-2</v>
      </c>
      <c r="J3" s="6">
        <f t="shared" si="0"/>
        <v>9.7906282303665979E-2</v>
      </c>
      <c r="K3" s="6">
        <f t="shared" si="0"/>
        <v>0.15738148924692941</v>
      </c>
      <c r="L3" s="6">
        <f t="shared" si="0"/>
        <v>0.12826541478278095</v>
      </c>
      <c r="M3" s="6">
        <f t="shared" si="0"/>
        <v>0.10439297808190412</v>
      </c>
      <c r="N3" s="6">
        <f t="shared" si="0"/>
        <v>3.7164284092926526E-2</v>
      </c>
      <c r="O3" s="6">
        <f t="shared" si="0"/>
        <v>9.7160627922921516E-2</v>
      </c>
      <c r="P3" s="6">
        <f t="shared" si="0"/>
        <v>8.2296348458904489E-2</v>
      </c>
      <c r="Q3" s="6">
        <f t="shared" si="0"/>
        <v>0.14891366831159927</v>
      </c>
      <c r="R3" s="8"/>
      <c r="S3" s="30"/>
      <c r="T3" s="1"/>
      <c r="U3" s="1"/>
    </row>
    <row r="4" spans="1:26" x14ac:dyDescent="0.3">
      <c r="B4" s="2" t="s">
        <v>0</v>
      </c>
      <c r="C4" s="2" t="s">
        <v>1</v>
      </c>
      <c r="D4" s="2" t="s">
        <v>2</v>
      </c>
      <c r="E4" s="2" t="s">
        <v>3</v>
      </c>
      <c r="F4" s="2" t="s">
        <v>4</v>
      </c>
      <c r="G4" s="2" t="s">
        <v>5</v>
      </c>
      <c r="H4" s="2" t="s">
        <v>6</v>
      </c>
      <c r="I4" s="2" t="s">
        <v>7</v>
      </c>
      <c r="J4" s="2" t="s">
        <v>8</v>
      </c>
      <c r="K4" s="2" t="s">
        <v>9</v>
      </c>
      <c r="L4" s="2" t="s">
        <v>10</v>
      </c>
      <c r="M4" s="2" t="s">
        <v>11</v>
      </c>
      <c r="N4" s="2" t="s">
        <v>12</v>
      </c>
      <c r="O4" s="2" t="s">
        <v>13</v>
      </c>
      <c r="P4" s="2" t="s">
        <v>14</v>
      </c>
      <c r="Q4" s="2" t="s">
        <v>15</v>
      </c>
      <c r="R4" s="8"/>
      <c r="S4" s="30"/>
      <c r="T4" s="2" t="s">
        <v>20</v>
      </c>
      <c r="V4" s="2" t="s">
        <v>45</v>
      </c>
      <c r="Y4" s="2" t="s">
        <v>46</v>
      </c>
      <c r="Z4" s="2" t="s">
        <v>26</v>
      </c>
    </row>
    <row r="5" spans="1:26" x14ac:dyDescent="0.3">
      <c r="A5" s="2">
        <v>1901</v>
      </c>
      <c r="B5">
        <v>863.91792011260998</v>
      </c>
      <c r="C5">
        <v>824.25884723663296</v>
      </c>
      <c r="D5">
        <v>800.94907283783004</v>
      </c>
      <c r="E5">
        <v>832.84045886993397</v>
      </c>
      <c r="F5">
        <v>1028.1355524063099</v>
      </c>
      <c r="G5">
        <v>1214.69484901428</v>
      </c>
      <c r="H5">
        <v>1583.47972011566</v>
      </c>
      <c r="I5">
        <v>554.31038951873802</v>
      </c>
      <c r="J5">
        <v>783.31340408325195</v>
      </c>
      <c r="K5">
        <v>670.82558393478405</v>
      </c>
      <c r="L5">
        <v>870.90508174896195</v>
      </c>
      <c r="M5">
        <v>917.17191600799595</v>
      </c>
      <c r="N5">
        <v>897.00202798843395</v>
      </c>
      <c r="O5">
        <v>1047.8443098068201</v>
      </c>
      <c r="P5">
        <v>823.5478515625</v>
      </c>
      <c r="Q5">
        <v>570.26733970642101</v>
      </c>
      <c r="R5" s="8"/>
      <c r="S5" s="5">
        <f>AVERAGE(B5:Q5)</f>
        <v>892.71652030944767</v>
      </c>
      <c r="T5" s="5">
        <f>(B5*$B$3)+(C5*$C$3)+(D5*$D$3)+(E5*$E$3)+(F5*$F$3)+(G5*$G$3)+(H5*$H$3)+(I5*$I$3)+(J5*$J$3)+(K5*$K$3)+(L5*$L$3)+(M5*$M$3)+(N5*$N$3)+(O5*$O$3)+(P5*$P$3)+(Q5*$Q$3)</f>
        <v>817.28994753397171</v>
      </c>
      <c r="U5" s="5"/>
      <c r="V5" s="7">
        <v>1024.65588876484</v>
      </c>
      <c r="W5" s="10"/>
      <c r="X5" s="4"/>
      <c r="Y5" s="2">
        <f t="shared" ref="Y5:Y36" si="1">T5*0.0394</f>
        <v>32.201223932838481</v>
      </c>
      <c r="Z5" s="10">
        <f>V5*0.0394</f>
        <v>40.371442017334694</v>
      </c>
    </row>
    <row r="6" spans="1:26" x14ac:dyDescent="0.3">
      <c r="A6" s="2">
        <v>1902</v>
      </c>
      <c r="B6">
        <v>704.82208347320602</v>
      </c>
      <c r="C6">
        <v>652.82214260101296</v>
      </c>
      <c r="D6">
        <v>625.34858512878395</v>
      </c>
      <c r="E6">
        <v>625.14261245727505</v>
      </c>
      <c r="F6">
        <v>732.648900032043</v>
      </c>
      <c r="G6">
        <v>821.16366958618198</v>
      </c>
      <c r="H6">
        <v>1037.7882957458501</v>
      </c>
      <c r="I6">
        <v>455.18450927734398</v>
      </c>
      <c r="J6">
        <v>516.14227581024204</v>
      </c>
      <c r="K6">
        <v>532.86713981628395</v>
      </c>
      <c r="L6">
        <v>650.96345329284702</v>
      </c>
      <c r="M6">
        <v>673.50666999816895</v>
      </c>
      <c r="N6">
        <v>703.41704463958695</v>
      </c>
      <c r="O6">
        <v>779.00312805175804</v>
      </c>
      <c r="P6">
        <v>628.47328281402599</v>
      </c>
      <c r="Q6">
        <v>434.63583564758301</v>
      </c>
      <c r="R6" s="8"/>
      <c r="S6" s="5">
        <f t="shared" ref="S6:S69" si="2">AVERAGE(B6:Q6)</f>
        <v>660.87060177326202</v>
      </c>
      <c r="T6" s="5">
        <f t="shared" ref="T6:T36" si="3">(B6*$B$3)+(C6*$C$3)+(D6*$D$3)+(E6*$E$3)+(F6*$F$3)+(G6*$G$3)+(H6*$H$3)+(I6*$I$3)+(J6*$J$3)+(K6*$K$3)+(L6*$L$3)+(M6*$M$3)+(N6*$N$3)+(O6*$O$3)+(P6*$P$3)+(Q6*$Q$3)</f>
        <v>607.87620685122761</v>
      </c>
      <c r="U6" s="5"/>
      <c r="V6" s="7">
        <v>745.86272040541701</v>
      </c>
      <c r="W6" s="10"/>
      <c r="X6" s="5"/>
      <c r="Y6" s="2">
        <f t="shared" si="1"/>
        <v>23.950322549938367</v>
      </c>
      <c r="Z6" s="10">
        <f t="shared" ref="Z6:Z69" si="4">V6*0.0394</f>
        <v>29.386991183973429</v>
      </c>
    </row>
    <row r="7" spans="1:26" x14ac:dyDescent="0.3">
      <c r="A7" s="2">
        <v>1903</v>
      </c>
      <c r="B7">
        <v>783.52945709228504</v>
      </c>
      <c r="C7">
        <v>741.68741703033402</v>
      </c>
      <c r="D7">
        <v>707.919396400452</v>
      </c>
      <c r="E7">
        <v>719.56937122345005</v>
      </c>
      <c r="F7">
        <v>864.59455013275101</v>
      </c>
      <c r="G7">
        <v>1002.72468090057</v>
      </c>
      <c r="H7">
        <v>1319.04528713226</v>
      </c>
      <c r="I7">
        <v>536.411220550537</v>
      </c>
      <c r="J7">
        <v>586.13431072235096</v>
      </c>
      <c r="K7">
        <v>691.62240314483597</v>
      </c>
      <c r="L7">
        <v>841.22012805938698</v>
      </c>
      <c r="M7">
        <v>746.95193958282505</v>
      </c>
      <c r="N7">
        <v>923.69086170196499</v>
      </c>
      <c r="O7">
        <v>844.77163028716996</v>
      </c>
      <c r="P7">
        <v>800.55869770050003</v>
      </c>
      <c r="Q7">
        <v>482.08229923248302</v>
      </c>
      <c r="S7" s="5">
        <f t="shared" si="2"/>
        <v>787.03210318088486</v>
      </c>
      <c r="T7" s="5">
        <f t="shared" si="3"/>
        <v>726.84754763381659</v>
      </c>
      <c r="U7" s="5"/>
      <c r="V7" s="7">
        <v>880.22200605170895</v>
      </c>
      <c r="W7" s="10"/>
      <c r="X7" s="5"/>
      <c r="Y7" s="2">
        <f t="shared" si="1"/>
        <v>28.637793376772372</v>
      </c>
      <c r="Z7" s="10">
        <f t="shared" si="4"/>
        <v>34.680747038437332</v>
      </c>
    </row>
    <row r="8" spans="1:26" x14ac:dyDescent="0.3">
      <c r="A8" s="2">
        <v>1904</v>
      </c>
      <c r="B8">
        <v>1085.6210422515901</v>
      </c>
      <c r="C8">
        <v>1021.37592124939</v>
      </c>
      <c r="D8">
        <v>983.07749414444004</v>
      </c>
      <c r="E8">
        <v>1025.2961025238001</v>
      </c>
      <c r="F8">
        <v>1243.9519729614301</v>
      </c>
      <c r="G8">
        <v>1477.9811487197901</v>
      </c>
      <c r="H8">
        <v>1809.8214454650899</v>
      </c>
      <c r="I8">
        <v>655.81450223922695</v>
      </c>
      <c r="J8">
        <v>729.03141784668003</v>
      </c>
      <c r="K8">
        <v>793.22753524780296</v>
      </c>
      <c r="L8">
        <v>952.30289173126198</v>
      </c>
      <c r="M8">
        <v>1078.57861042023</v>
      </c>
      <c r="N8">
        <v>1067.61158180237</v>
      </c>
      <c r="O8">
        <v>1250.1372356414799</v>
      </c>
      <c r="P8">
        <v>971.06677532195999</v>
      </c>
      <c r="Q8">
        <v>683.30031728744495</v>
      </c>
      <c r="S8" s="5">
        <f t="shared" si="2"/>
        <v>1051.7622496783742</v>
      </c>
      <c r="T8" s="5">
        <f t="shared" si="3"/>
        <v>942.12355349963036</v>
      </c>
      <c r="U8" s="5"/>
      <c r="V8" s="7">
        <v>1239.9848447202901</v>
      </c>
      <c r="W8" s="10"/>
      <c r="X8" s="5"/>
      <c r="Y8" s="2">
        <f t="shared" si="1"/>
        <v>37.119668007885437</v>
      </c>
      <c r="Z8" s="10">
        <f t="shared" si="4"/>
        <v>48.85540288197943</v>
      </c>
    </row>
    <row r="9" spans="1:26" x14ac:dyDescent="0.3">
      <c r="A9" s="2">
        <v>1905</v>
      </c>
      <c r="B9">
        <v>645.36228466033901</v>
      </c>
      <c r="C9">
        <v>610.33876037597702</v>
      </c>
      <c r="D9">
        <v>585.54198169708297</v>
      </c>
      <c r="E9">
        <v>586.06627464294399</v>
      </c>
      <c r="F9">
        <v>668.70604515075695</v>
      </c>
      <c r="G9">
        <v>739.351600646973</v>
      </c>
      <c r="H9">
        <v>911.45716857910202</v>
      </c>
      <c r="I9">
        <v>476.61526465416</v>
      </c>
      <c r="J9">
        <v>543.22588157653797</v>
      </c>
      <c r="K9">
        <v>518.27675426006294</v>
      </c>
      <c r="L9">
        <v>634.61762762069702</v>
      </c>
      <c r="M9">
        <v>608.85429382324196</v>
      </c>
      <c r="N9">
        <v>668.01074790954601</v>
      </c>
      <c r="O9">
        <v>668.88516998291004</v>
      </c>
      <c r="P9">
        <v>585.76258754730202</v>
      </c>
      <c r="Q9">
        <v>437.61274147033703</v>
      </c>
      <c r="S9" s="5">
        <f t="shared" si="2"/>
        <v>618.04282403737318</v>
      </c>
      <c r="T9" s="5">
        <f t="shared" si="3"/>
        <v>577.14622230555074</v>
      </c>
      <c r="U9" s="5"/>
      <c r="V9" s="7">
        <v>619.50820797573999</v>
      </c>
      <c r="W9" s="10"/>
      <c r="X9" s="5"/>
      <c r="Y9" s="2">
        <f t="shared" si="1"/>
        <v>22.739561158838697</v>
      </c>
      <c r="Z9" s="10">
        <f t="shared" si="4"/>
        <v>24.408623394244152</v>
      </c>
    </row>
    <row r="10" spans="1:26" x14ac:dyDescent="0.3">
      <c r="A10" s="2">
        <v>1906</v>
      </c>
      <c r="B10">
        <v>928.18623542785599</v>
      </c>
      <c r="C10">
        <v>883.46870899200405</v>
      </c>
      <c r="D10">
        <v>851.081749916077</v>
      </c>
      <c r="E10">
        <v>863.64240550994896</v>
      </c>
      <c r="F10">
        <v>1019.13677787781</v>
      </c>
      <c r="G10">
        <v>1137.82997226715</v>
      </c>
      <c r="H10">
        <v>1388.4545516967801</v>
      </c>
      <c r="I10">
        <v>646.873510360718</v>
      </c>
      <c r="J10">
        <v>672.70605850219704</v>
      </c>
      <c r="K10">
        <v>708.92975997924805</v>
      </c>
      <c r="L10">
        <v>903.66447067260697</v>
      </c>
      <c r="M10">
        <v>926.646140098572</v>
      </c>
      <c r="N10">
        <v>891.60116386413597</v>
      </c>
      <c r="O10">
        <v>1039.03820705414</v>
      </c>
      <c r="P10">
        <v>816.77921962738003</v>
      </c>
      <c r="Q10">
        <v>654.23886013030994</v>
      </c>
      <c r="S10" s="5">
        <f t="shared" si="2"/>
        <v>895.76736199855839</v>
      </c>
      <c r="T10" s="5">
        <f t="shared" si="3"/>
        <v>828.19169638741482</v>
      </c>
      <c r="U10" s="5"/>
      <c r="V10" s="7">
        <v>921.18518089348504</v>
      </c>
      <c r="W10" s="10"/>
      <c r="X10" s="5"/>
      <c r="Y10" s="2">
        <f t="shared" si="1"/>
        <v>32.63075283766414</v>
      </c>
      <c r="Z10" s="10">
        <f t="shared" si="4"/>
        <v>36.294696127203309</v>
      </c>
    </row>
    <row r="11" spans="1:26" x14ac:dyDescent="0.3">
      <c r="A11" s="2">
        <v>1907</v>
      </c>
      <c r="B11">
        <v>1113.6361789703401</v>
      </c>
      <c r="C11">
        <v>1064.5161724090599</v>
      </c>
      <c r="D11">
        <v>1017.43366241455</v>
      </c>
      <c r="E11">
        <v>1029.3195257186901</v>
      </c>
      <c r="F11">
        <v>1224.3451271057099</v>
      </c>
      <c r="G11">
        <v>1425.63449954987</v>
      </c>
      <c r="H11">
        <v>1761.6355371475199</v>
      </c>
      <c r="I11">
        <v>754.54993247985794</v>
      </c>
      <c r="J11">
        <v>829.92486667633102</v>
      </c>
      <c r="K11">
        <v>947.99995231628395</v>
      </c>
      <c r="L11">
        <v>1172.6567983627299</v>
      </c>
      <c r="M11">
        <v>1115.6554737091101</v>
      </c>
      <c r="N11">
        <v>1260.1664352416999</v>
      </c>
      <c r="O11">
        <v>1327.4044303894</v>
      </c>
      <c r="P11">
        <v>1093.4396085739099</v>
      </c>
      <c r="Q11">
        <v>725.22997665405296</v>
      </c>
      <c r="S11" s="5">
        <f t="shared" si="2"/>
        <v>1116.4717611074448</v>
      </c>
      <c r="T11" s="5">
        <f t="shared" si="3"/>
        <v>1040.8499457725202</v>
      </c>
      <c r="U11" s="5"/>
      <c r="V11" s="7">
        <v>1130.4697060706301</v>
      </c>
      <c r="W11" s="10"/>
      <c r="X11" s="5"/>
      <c r="Y11" s="2">
        <f t="shared" si="1"/>
        <v>41.009487863437293</v>
      </c>
      <c r="Z11" s="10">
        <f t="shared" si="4"/>
        <v>44.540506419182826</v>
      </c>
    </row>
    <row r="12" spans="1:26" x14ac:dyDescent="0.3">
      <c r="A12" s="2">
        <v>1908</v>
      </c>
      <c r="B12">
        <v>874.434776306152</v>
      </c>
      <c r="C12">
        <v>837.68669891357399</v>
      </c>
      <c r="D12">
        <v>807.03413772582996</v>
      </c>
      <c r="E12">
        <v>803.80573081970203</v>
      </c>
      <c r="F12">
        <v>899.45471382141102</v>
      </c>
      <c r="G12">
        <v>982.346616744995</v>
      </c>
      <c r="H12">
        <v>1229.5237216949499</v>
      </c>
      <c r="I12">
        <v>610.18387031555199</v>
      </c>
      <c r="J12">
        <v>648.56164169311501</v>
      </c>
      <c r="K12">
        <v>697.38393783569302</v>
      </c>
      <c r="L12">
        <v>855.013158798218</v>
      </c>
      <c r="M12">
        <v>909.497890472412</v>
      </c>
      <c r="N12">
        <v>863.145069122314</v>
      </c>
      <c r="O12">
        <v>1030.81348228455</v>
      </c>
      <c r="P12">
        <v>794.12019538879395</v>
      </c>
      <c r="Q12">
        <v>626.53801918029797</v>
      </c>
      <c r="S12" s="5">
        <f t="shared" si="2"/>
        <v>841.84647881984745</v>
      </c>
      <c r="T12" s="5">
        <f t="shared" si="3"/>
        <v>795.11309364601368</v>
      </c>
      <c r="U12" s="5"/>
      <c r="V12" s="7">
        <v>852.65731724461</v>
      </c>
      <c r="W12" s="10"/>
      <c r="X12" s="5"/>
      <c r="Y12" s="2">
        <f t="shared" si="1"/>
        <v>31.327455889652938</v>
      </c>
      <c r="Z12" s="10">
        <f t="shared" si="4"/>
        <v>33.594698299437631</v>
      </c>
    </row>
    <row r="13" spans="1:26" x14ac:dyDescent="0.3">
      <c r="A13" s="2">
        <v>1909</v>
      </c>
      <c r="B13">
        <v>1371.30259799957</v>
      </c>
      <c r="C13">
        <v>1329.95948886871</v>
      </c>
      <c r="D13">
        <v>1301.1981010437</v>
      </c>
      <c r="E13">
        <v>1328.6077213287399</v>
      </c>
      <c r="F13">
        <v>1513.03099822998</v>
      </c>
      <c r="G13">
        <v>1747.4717693328901</v>
      </c>
      <c r="H13">
        <v>2137.1032075881999</v>
      </c>
      <c r="I13">
        <v>855.96424198150601</v>
      </c>
      <c r="J13">
        <v>981.95541381835903</v>
      </c>
      <c r="K13">
        <v>1083.94923114777</v>
      </c>
      <c r="L13">
        <v>1381.6740112304699</v>
      </c>
      <c r="M13">
        <v>1266.8222980499299</v>
      </c>
      <c r="N13">
        <v>1417.13902187347</v>
      </c>
      <c r="O13">
        <v>1485.09691810608</v>
      </c>
      <c r="P13">
        <v>1262.91257190704</v>
      </c>
      <c r="Q13">
        <v>800.04955863952603</v>
      </c>
      <c r="S13" s="5">
        <f t="shared" si="2"/>
        <v>1329.0148219466212</v>
      </c>
      <c r="T13" s="5">
        <f t="shared" si="3"/>
        <v>1204.8316917916561</v>
      </c>
      <c r="U13" s="5"/>
      <c r="V13" s="7">
        <v>1366.7203413943801</v>
      </c>
      <c r="W13" s="10"/>
      <c r="X13" s="5"/>
      <c r="Y13" s="2">
        <f t="shared" si="1"/>
        <v>47.470368656591248</v>
      </c>
      <c r="Z13" s="10">
        <f t="shared" si="4"/>
        <v>53.848781450938574</v>
      </c>
    </row>
    <row r="14" spans="1:26" x14ac:dyDescent="0.3">
      <c r="A14" s="2">
        <v>1910</v>
      </c>
      <c r="B14">
        <v>821.70354199409496</v>
      </c>
      <c r="C14">
        <v>761.39260196685802</v>
      </c>
      <c r="D14">
        <v>735.91105580329895</v>
      </c>
      <c r="E14">
        <v>754.73259186744701</v>
      </c>
      <c r="F14">
        <v>882.82363224029496</v>
      </c>
      <c r="G14">
        <v>1018.82328009605</v>
      </c>
      <c r="H14">
        <v>1271.0048415660899</v>
      </c>
      <c r="I14">
        <v>556.63561868667603</v>
      </c>
      <c r="J14">
        <v>608.92504072189297</v>
      </c>
      <c r="K14">
        <v>670.81729197502102</v>
      </c>
      <c r="L14">
        <v>859.61536765098595</v>
      </c>
      <c r="M14">
        <v>782.57201433181797</v>
      </c>
      <c r="N14">
        <v>912.46722805499996</v>
      </c>
      <c r="O14">
        <v>876.40309071540798</v>
      </c>
      <c r="P14">
        <v>822.10761022567704</v>
      </c>
      <c r="Q14">
        <v>504.01733112335199</v>
      </c>
      <c r="S14" s="5">
        <f t="shared" si="2"/>
        <v>802.49700868874788</v>
      </c>
      <c r="T14" s="5">
        <f t="shared" si="3"/>
        <v>742.01313070666492</v>
      </c>
      <c r="U14" s="5"/>
      <c r="V14" s="7">
        <v>811.74745964036504</v>
      </c>
      <c r="W14" s="10"/>
      <c r="X14" s="5"/>
      <c r="Y14" s="2">
        <f t="shared" si="1"/>
        <v>29.235317349842596</v>
      </c>
      <c r="Z14" s="10">
        <f t="shared" si="4"/>
        <v>31.982849909830382</v>
      </c>
    </row>
    <row r="15" spans="1:26" x14ac:dyDescent="0.3">
      <c r="A15" s="2">
        <v>1911</v>
      </c>
      <c r="B15">
        <v>1092.4371247291599</v>
      </c>
      <c r="C15">
        <v>1043.4000771045701</v>
      </c>
      <c r="D15">
        <v>1006.41734933853</v>
      </c>
      <c r="E15">
        <v>1010.96155786514</v>
      </c>
      <c r="F15">
        <v>1148.20304250717</v>
      </c>
      <c r="G15">
        <v>1298.6060256958001</v>
      </c>
      <c r="H15">
        <v>1549.71399879456</v>
      </c>
      <c r="I15">
        <v>675.28891382366396</v>
      </c>
      <c r="J15">
        <v>760.84656620025601</v>
      </c>
      <c r="K15">
        <v>915.54495891928696</v>
      </c>
      <c r="L15">
        <v>1166.58546066284</v>
      </c>
      <c r="M15">
        <v>1034.2155303955101</v>
      </c>
      <c r="N15">
        <v>1157.88404273987</v>
      </c>
      <c r="O15">
        <v>1235.2193050384501</v>
      </c>
      <c r="P15">
        <v>1001.28621959686</v>
      </c>
      <c r="Q15">
        <v>666.71332693099998</v>
      </c>
      <c r="S15" s="5">
        <f t="shared" si="2"/>
        <v>1047.7077187714167</v>
      </c>
      <c r="T15" s="5">
        <f t="shared" si="3"/>
        <v>978.97995128103048</v>
      </c>
      <c r="U15" s="5"/>
      <c r="V15" s="7">
        <v>1056.5775932828201</v>
      </c>
      <c r="W15" s="10"/>
      <c r="X15" s="5"/>
      <c r="Y15" s="2">
        <f t="shared" si="1"/>
        <v>38.571810080472595</v>
      </c>
      <c r="Z15" s="10">
        <f t="shared" si="4"/>
        <v>41.62915717534311</v>
      </c>
    </row>
    <row r="16" spans="1:26" x14ac:dyDescent="0.3">
      <c r="A16" s="2">
        <v>1912</v>
      </c>
      <c r="B16">
        <v>935.84175109863304</v>
      </c>
      <c r="C16">
        <v>878.94964981079102</v>
      </c>
      <c r="D16">
        <v>849.72086334228504</v>
      </c>
      <c r="E16">
        <v>861.63805007934604</v>
      </c>
      <c r="F16">
        <v>999.25895690918003</v>
      </c>
      <c r="G16">
        <v>1123.7306556701701</v>
      </c>
      <c r="H16">
        <v>1373.8680000305201</v>
      </c>
      <c r="I16">
        <v>621.51200294494595</v>
      </c>
      <c r="J16">
        <v>752.41938209533703</v>
      </c>
      <c r="K16">
        <v>719.07694435119595</v>
      </c>
      <c r="L16">
        <v>964.27178955078102</v>
      </c>
      <c r="M16">
        <v>908.37044143676803</v>
      </c>
      <c r="N16">
        <v>911.90306472778298</v>
      </c>
      <c r="O16">
        <v>1038.2465438842801</v>
      </c>
      <c r="P16">
        <v>840.54604721069302</v>
      </c>
      <c r="Q16">
        <v>631.987730026245</v>
      </c>
      <c r="S16" s="5">
        <f t="shared" si="2"/>
        <v>900.70886707305976</v>
      </c>
      <c r="T16" s="5">
        <f t="shared" si="3"/>
        <v>841.07527784491026</v>
      </c>
      <c r="U16" s="5"/>
      <c r="V16" s="7">
        <v>913.54561219994002</v>
      </c>
      <c r="W16" s="10"/>
      <c r="X16" s="5"/>
      <c r="Y16" s="2">
        <f t="shared" si="1"/>
        <v>33.138365947089461</v>
      </c>
      <c r="Z16" s="10">
        <f t="shared" si="4"/>
        <v>35.993697120677638</v>
      </c>
    </row>
    <row r="17" spans="1:26" x14ac:dyDescent="0.3">
      <c r="A17" s="2">
        <v>1913</v>
      </c>
      <c r="B17">
        <v>837.35727310180698</v>
      </c>
      <c r="C17">
        <v>792.93160438537598</v>
      </c>
      <c r="D17">
        <v>775.28595733642601</v>
      </c>
      <c r="E17">
        <v>793.28232955932594</v>
      </c>
      <c r="F17">
        <v>913.41274642944302</v>
      </c>
      <c r="G17">
        <v>1029.1322860717801</v>
      </c>
      <c r="H17">
        <v>1260.4807567596399</v>
      </c>
      <c r="I17">
        <v>627.25312805175804</v>
      </c>
      <c r="J17">
        <v>705.87487792968795</v>
      </c>
      <c r="K17">
        <v>765.12660217285202</v>
      </c>
      <c r="L17">
        <v>1030.46765518188</v>
      </c>
      <c r="M17">
        <v>911.89931488037098</v>
      </c>
      <c r="N17">
        <v>875.80088806152298</v>
      </c>
      <c r="O17">
        <v>1009.6092815399199</v>
      </c>
      <c r="P17">
        <v>794.69182205200195</v>
      </c>
      <c r="Q17">
        <v>607.92193222045898</v>
      </c>
      <c r="S17" s="5">
        <f t="shared" si="2"/>
        <v>858.15802848339069</v>
      </c>
      <c r="T17" s="5">
        <f t="shared" si="3"/>
        <v>831.16833018467946</v>
      </c>
      <c r="U17" s="5"/>
      <c r="V17" s="7">
        <v>847.08961096368103</v>
      </c>
      <c r="W17" s="10"/>
      <c r="X17" s="5"/>
      <c r="Y17" s="2">
        <f t="shared" si="1"/>
        <v>32.748032209276367</v>
      </c>
      <c r="Z17" s="10">
        <f t="shared" si="4"/>
        <v>33.375330671969031</v>
      </c>
    </row>
    <row r="18" spans="1:26" x14ac:dyDescent="0.3">
      <c r="A18" s="2">
        <v>1914</v>
      </c>
      <c r="B18">
        <v>924.07362890243496</v>
      </c>
      <c r="C18">
        <v>893.38288021087601</v>
      </c>
      <c r="D18">
        <v>863.50264358520496</v>
      </c>
      <c r="E18">
        <v>892.76236629486095</v>
      </c>
      <c r="F18">
        <v>1047.1798858642601</v>
      </c>
      <c r="G18">
        <v>1236.36511993408</v>
      </c>
      <c r="H18">
        <v>1468.70910453796</v>
      </c>
      <c r="I18">
        <v>656.83562946319603</v>
      </c>
      <c r="J18">
        <v>762.97944927215599</v>
      </c>
      <c r="K18">
        <v>829.47508621215798</v>
      </c>
      <c r="L18">
        <v>1083.6506652831999</v>
      </c>
      <c r="M18">
        <v>989.44846343994095</v>
      </c>
      <c r="N18">
        <v>1056.8118352890001</v>
      </c>
      <c r="O18">
        <v>1113.79943275452</v>
      </c>
      <c r="P18">
        <v>906.34782981872604</v>
      </c>
      <c r="Q18">
        <v>647.42352485656704</v>
      </c>
      <c r="S18" s="5">
        <f t="shared" si="2"/>
        <v>960.79672160744633</v>
      </c>
      <c r="T18" s="5">
        <f t="shared" si="3"/>
        <v>911.36633460969608</v>
      </c>
      <c r="U18" s="5"/>
      <c r="V18" s="7">
        <v>962.39609455971902</v>
      </c>
      <c r="W18" s="10"/>
      <c r="X18" s="5"/>
      <c r="Y18" s="2">
        <f t="shared" si="1"/>
        <v>35.907833583622022</v>
      </c>
      <c r="Z18" s="10">
        <f t="shared" si="4"/>
        <v>37.918406125652929</v>
      </c>
    </row>
    <row r="19" spans="1:26" x14ac:dyDescent="0.3">
      <c r="A19" s="2">
        <v>1915</v>
      </c>
      <c r="B19">
        <v>750.15708398819004</v>
      </c>
      <c r="C19">
        <v>709.44258546829201</v>
      </c>
      <c r="D19">
        <v>690.07034826278698</v>
      </c>
      <c r="E19">
        <v>710.18641185760498</v>
      </c>
      <c r="F19">
        <v>817.407727241516</v>
      </c>
      <c r="G19">
        <v>952.42314434051502</v>
      </c>
      <c r="H19">
        <v>1227.4864187240601</v>
      </c>
      <c r="I19">
        <v>580.76709651946999</v>
      </c>
      <c r="J19">
        <v>668.52223205566395</v>
      </c>
      <c r="K19">
        <v>709.42725038528397</v>
      </c>
      <c r="L19">
        <v>932.13576126098599</v>
      </c>
      <c r="M19">
        <v>797.13538837432895</v>
      </c>
      <c r="N19">
        <v>916.94976139068604</v>
      </c>
      <c r="O19">
        <v>885.35068511962902</v>
      </c>
      <c r="P19">
        <v>771.80336761474598</v>
      </c>
      <c r="Q19">
        <v>532.69878625869796</v>
      </c>
      <c r="S19" s="5">
        <f t="shared" si="2"/>
        <v>790.74775305390358</v>
      </c>
      <c r="T19" s="5">
        <f t="shared" si="3"/>
        <v>760.23342595500651</v>
      </c>
      <c r="U19" s="5"/>
      <c r="V19" s="7">
        <v>773.26365247192496</v>
      </c>
      <c r="W19" s="10"/>
      <c r="X19" s="5"/>
      <c r="Y19" s="2">
        <f t="shared" si="1"/>
        <v>29.953196982627254</v>
      </c>
      <c r="Z19" s="10">
        <f t="shared" si="4"/>
        <v>30.466587907393841</v>
      </c>
    </row>
    <row r="20" spans="1:26" x14ac:dyDescent="0.3">
      <c r="A20" s="2">
        <v>1916</v>
      </c>
      <c r="B20">
        <v>742.65457558631897</v>
      </c>
      <c r="C20">
        <v>685.98278975486801</v>
      </c>
      <c r="D20">
        <v>667.92799925804104</v>
      </c>
      <c r="E20">
        <v>699.90247988700901</v>
      </c>
      <c r="F20">
        <v>833.93594312667801</v>
      </c>
      <c r="G20">
        <v>994.21735572814896</v>
      </c>
      <c r="H20">
        <v>1243.1626729965201</v>
      </c>
      <c r="I20">
        <v>537.151084899902</v>
      </c>
      <c r="J20">
        <v>662.24603748321499</v>
      </c>
      <c r="K20">
        <v>699.54350996017502</v>
      </c>
      <c r="L20">
        <v>939.266921043396</v>
      </c>
      <c r="M20">
        <v>794.87152934074402</v>
      </c>
      <c r="N20">
        <v>910.29700565338101</v>
      </c>
      <c r="O20">
        <v>879.17806863784801</v>
      </c>
      <c r="P20">
        <v>792.636890888214</v>
      </c>
      <c r="Q20">
        <v>495.58461403846701</v>
      </c>
      <c r="S20" s="5">
        <f t="shared" si="2"/>
        <v>786.15996739268303</v>
      </c>
      <c r="T20" s="5">
        <f t="shared" si="3"/>
        <v>753.73422472763036</v>
      </c>
      <c r="U20" s="5"/>
      <c r="V20" s="7">
        <v>774.68844236588302</v>
      </c>
      <c r="W20" s="10"/>
      <c r="X20" s="5"/>
      <c r="Y20" s="2">
        <f t="shared" si="1"/>
        <v>29.697128454268633</v>
      </c>
      <c r="Z20" s="10">
        <f t="shared" si="4"/>
        <v>30.522724629215791</v>
      </c>
    </row>
    <row r="21" spans="1:26" x14ac:dyDescent="0.3">
      <c r="A21" s="2">
        <v>1917</v>
      </c>
      <c r="B21">
        <v>929.24357986450195</v>
      </c>
      <c r="C21">
        <v>868.96734428405796</v>
      </c>
      <c r="D21">
        <v>819.01136207580601</v>
      </c>
      <c r="E21">
        <v>840.70309543609596</v>
      </c>
      <c r="F21">
        <v>968.97406768798805</v>
      </c>
      <c r="G21">
        <v>1090.90332984924</v>
      </c>
      <c r="H21">
        <v>1331.7141933441201</v>
      </c>
      <c r="I21">
        <v>682.04300546646095</v>
      </c>
      <c r="J21">
        <v>811.22071743011497</v>
      </c>
      <c r="K21">
        <v>847.62658309936501</v>
      </c>
      <c r="L21">
        <v>1144.4100990295401</v>
      </c>
      <c r="M21">
        <v>902.76385402679398</v>
      </c>
      <c r="N21">
        <v>1041.44311618805</v>
      </c>
      <c r="O21">
        <v>1035.76088142395</v>
      </c>
      <c r="P21">
        <v>906.89550209045399</v>
      </c>
      <c r="Q21">
        <v>596.28204488754295</v>
      </c>
      <c r="S21" s="5">
        <f t="shared" si="2"/>
        <v>926.12267351150513</v>
      </c>
      <c r="T21" s="5">
        <f t="shared" si="3"/>
        <v>892.97426154204379</v>
      </c>
      <c r="U21" s="5"/>
      <c r="V21" s="7">
        <v>904.29459986366498</v>
      </c>
      <c r="W21" s="10"/>
      <c r="X21" s="5"/>
      <c r="Y21" s="2">
        <f t="shared" si="1"/>
        <v>35.18318590475652</v>
      </c>
      <c r="Z21" s="10">
        <f t="shared" si="4"/>
        <v>35.629207234628396</v>
      </c>
    </row>
    <row r="22" spans="1:26" x14ac:dyDescent="0.3">
      <c r="A22" s="2">
        <v>1918</v>
      </c>
      <c r="B22">
        <v>627.18004035949696</v>
      </c>
      <c r="C22">
        <v>602.189184188843</v>
      </c>
      <c r="D22">
        <v>583.964258670807</v>
      </c>
      <c r="E22">
        <v>649.29586219787598</v>
      </c>
      <c r="F22">
        <v>836.24639892578102</v>
      </c>
      <c r="G22">
        <v>954.36625194549595</v>
      </c>
      <c r="H22">
        <v>1182.6839170455901</v>
      </c>
      <c r="I22">
        <v>511.97443866729702</v>
      </c>
      <c r="J22">
        <v>694.39969682693504</v>
      </c>
      <c r="K22">
        <v>655.62817096710205</v>
      </c>
      <c r="L22">
        <v>866.355612754822</v>
      </c>
      <c r="M22">
        <v>696.898850440979</v>
      </c>
      <c r="N22">
        <v>747.641896247864</v>
      </c>
      <c r="O22">
        <v>784.92428827285801</v>
      </c>
      <c r="P22">
        <v>645.174757480621</v>
      </c>
      <c r="Q22">
        <v>471.08484363555903</v>
      </c>
      <c r="S22" s="5">
        <f t="shared" si="2"/>
        <v>719.37552928924538</v>
      </c>
      <c r="T22" s="5">
        <f t="shared" si="3"/>
        <v>692.4126230773129</v>
      </c>
      <c r="U22" s="5"/>
      <c r="V22" s="7">
        <v>704.60331564484102</v>
      </c>
      <c r="W22" s="10"/>
      <c r="X22" s="5"/>
      <c r="Y22" s="2">
        <f t="shared" si="1"/>
        <v>27.281057349246126</v>
      </c>
      <c r="Z22" s="10">
        <f t="shared" si="4"/>
        <v>27.761370636406735</v>
      </c>
    </row>
    <row r="23" spans="1:26" x14ac:dyDescent="0.3">
      <c r="A23" s="2">
        <v>1919</v>
      </c>
      <c r="B23">
        <v>583.38880062103306</v>
      </c>
      <c r="C23">
        <v>557.88662672042801</v>
      </c>
      <c r="D23">
        <v>541.72671794891403</v>
      </c>
      <c r="E23">
        <v>568.26007175445602</v>
      </c>
      <c r="F23">
        <v>658.90227031707798</v>
      </c>
      <c r="G23">
        <v>756.18486976623501</v>
      </c>
      <c r="H23">
        <v>901.81045055389404</v>
      </c>
      <c r="I23">
        <v>459.455074002966</v>
      </c>
      <c r="J23">
        <v>534.55475783348095</v>
      </c>
      <c r="K23">
        <v>540.62772587314203</v>
      </c>
      <c r="L23">
        <v>712.33909291028999</v>
      </c>
      <c r="M23">
        <v>685.74058914184604</v>
      </c>
      <c r="N23">
        <v>663.37339079380001</v>
      </c>
      <c r="O23">
        <v>739.84744119644199</v>
      </c>
      <c r="P23">
        <v>583.58558909595001</v>
      </c>
      <c r="Q23">
        <v>428.852339982986</v>
      </c>
      <c r="S23" s="5">
        <f t="shared" si="2"/>
        <v>619.78348803205881</v>
      </c>
      <c r="T23" s="5">
        <f t="shared" si="3"/>
        <v>600.82876457263592</v>
      </c>
      <c r="U23" s="5"/>
      <c r="V23" s="7">
        <v>610.90407202526501</v>
      </c>
      <c r="W23" s="10"/>
      <c r="X23" s="5"/>
      <c r="Y23" s="2">
        <f t="shared" si="1"/>
        <v>23.672653324161853</v>
      </c>
      <c r="Z23" s="10">
        <f t="shared" si="4"/>
        <v>24.069620437795439</v>
      </c>
    </row>
    <row r="24" spans="1:26" x14ac:dyDescent="0.3">
      <c r="A24" s="2">
        <v>1920</v>
      </c>
      <c r="B24">
        <v>861.04642009735096</v>
      </c>
      <c r="C24">
        <v>816.32243919372604</v>
      </c>
      <c r="D24">
        <v>786.93193435669002</v>
      </c>
      <c r="E24">
        <v>812.46244621276901</v>
      </c>
      <c r="F24">
        <v>959.36042499542202</v>
      </c>
      <c r="G24">
        <v>1086.8660030364999</v>
      </c>
      <c r="H24">
        <v>1284.8739395141599</v>
      </c>
      <c r="I24">
        <v>634.27643680572498</v>
      </c>
      <c r="J24">
        <v>691.98496818542503</v>
      </c>
      <c r="K24">
        <v>767.68598651885998</v>
      </c>
      <c r="L24">
        <v>1030.9747714996299</v>
      </c>
      <c r="M24">
        <v>914.57150459289596</v>
      </c>
      <c r="N24">
        <v>955.30143356323197</v>
      </c>
      <c r="O24">
        <v>1009.83642578125</v>
      </c>
      <c r="P24">
        <v>838.24440288543701</v>
      </c>
      <c r="Q24">
        <v>598.82712650299095</v>
      </c>
      <c r="S24" s="5">
        <f t="shared" si="2"/>
        <v>878.09791648387898</v>
      </c>
      <c r="T24" s="5">
        <f t="shared" si="3"/>
        <v>839.77069424036881</v>
      </c>
      <c r="U24" s="5"/>
      <c r="V24" s="7">
        <v>870.20259745065403</v>
      </c>
      <c r="W24" s="10"/>
      <c r="X24" s="5"/>
      <c r="Y24" s="2">
        <f t="shared" si="1"/>
        <v>33.086965353070532</v>
      </c>
      <c r="Z24" s="10">
        <f t="shared" si="4"/>
        <v>34.285982339555765</v>
      </c>
    </row>
    <row r="25" spans="1:26" x14ac:dyDescent="0.3">
      <c r="A25" s="2">
        <v>1921</v>
      </c>
      <c r="B25">
        <v>892.16235542297397</v>
      </c>
      <c r="C25">
        <v>816.47808647155796</v>
      </c>
      <c r="D25">
        <v>781.38561058044399</v>
      </c>
      <c r="E25">
        <v>828.89429664611805</v>
      </c>
      <c r="F25">
        <v>993.29747581481899</v>
      </c>
      <c r="G25">
        <v>1224.98266410828</v>
      </c>
      <c r="H25">
        <v>1595.44056987762</v>
      </c>
      <c r="I25">
        <v>686.19777774810802</v>
      </c>
      <c r="J25">
        <v>749.75768661499001</v>
      </c>
      <c r="K25">
        <v>877.854222297668</v>
      </c>
      <c r="L25">
        <v>1214.43677043915</v>
      </c>
      <c r="M25">
        <v>1013.23705768585</v>
      </c>
      <c r="N25">
        <v>1102.8517189025899</v>
      </c>
      <c r="O25">
        <v>1149.73461532593</v>
      </c>
      <c r="P25">
        <v>932.13886260986305</v>
      </c>
      <c r="Q25">
        <v>639.83693218231201</v>
      </c>
      <c r="S25" s="5">
        <f t="shared" si="2"/>
        <v>968.66791892051708</v>
      </c>
      <c r="T25" s="5">
        <f t="shared" si="3"/>
        <v>941.50832057227171</v>
      </c>
      <c r="U25" s="5"/>
      <c r="V25" s="7">
        <v>948.29791354300903</v>
      </c>
      <c r="W25" s="10"/>
      <c r="X25" s="5"/>
      <c r="Y25" s="2">
        <f t="shared" si="1"/>
        <v>37.0954278305475</v>
      </c>
      <c r="Z25" s="10">
        <f t="shared" si="4"/>
        <v>37.362937793594554</v>
      </c>
    </row>
    <row r="26" spans="1:26" x14ac:dyDescent="0.3">
      <c r="A26" s="2">
        <v>1922</v>
      </c>
      <c r="B26">
        <v>847.93025493621803</v>
      </c>
      <c r="C26">
        <v>781.80050945282005</v>
      </c>
      <c r="D26">
        <v>747.00294589996304</v>
      </c>
      <c r="E26">
        <v>795.08268213272095</v>
      </c>
      <c r="F26">
        <v>982.87781095504795</v>
      </c>
      <c r="G26">
        <v>1220.20244550705</v>
      </c>
      <c r="H26">
        <v>1482.31554794312</v>
      </c>
      <c r="I26">
        <v>664.80544853210404</v>
      </c>
      <c r="J26">
        <v>781.74840831756603</v>
      </c>
      <c r="K26">
        <v>824.44041633606003</v>
      </c>
      <c r="L26">
        <v>1095.12818717957</v>
      </c>
      <c r="M26">
        <v>932.04282569885299</v>
      </c>
      <c r="N26">
        <v>1023.35749053955</v>
      </c>
      <c r="O26">
        <v>1066.3598976135299</v>
      </c>
      <c r="P26">
        <v>873.41466140747104</v>
      </c>
      <c r="Q26">
        <v>595.08427143096901</v>
      </c>
      <c r="S26" s="5">
        <f t="shared" si="2"/>
        <v>919.59961274266311</v>
      </c>
      <c r="T26" s="5">
        <f t="shared" si="3"/>
        <v>885.07979976420006</v>
      </c>
      <c r="U26" s="5"/>
      <c r="V26" s="7">
        <v>907.11165037983699</v>
      </c>
      <c r="W26" s="10"/>
      <c r="X26" s="5"/>
      <c r="Y26" s="2">
        <f t="shared" si="1"/>
        <v>34.872144110709478</v>
      </c>
      <c r="Z26" s="10">
        <f t="shared" si="4"/>
        <v>35.740199024965577</v>
      </c>
    </row>
    <row r="27" spans="1:26" x14ac:dyDescent="0.3">
      <c r="A27" s="2">
        <v>1923</v>
      </c>
      <c r="B27">
        <v>1034.5223083496101</v>
      </c>
      <c r="C27">
        <v>954.85626411438</v>
      </c>
      <c r="D27">
        <v>902.629726409912</v>
      </c>
      <c r="E27">
        <v>942.19373130798294</v>
      </c>
      <c r="F27">
        <v>1146.3457412719699</v>
      </c>
      <c r="G27">
        <v>1357.66603088379</v>
      </c>
      <c r="H27">
        <v>1646.3574600219699</v>
      </c>
      <c r="I27">
        <v>734.51951789856003</v>
      </c>
      <c r="J27">
        <v>834.88843727111805</v>
      </c>
      <c r="K27">
        <v>931.43924522399902</v>
      </c>
      <c r="L27">
        <v>1188.6140594482399</v>
      </c>
      <c r="M27">
        <v>1025.3766765594501</v>
      </c>
      <c r="N27">
        <v>1210.2832565307599</v>
      </c>
      <c r="O27">
        <v>1187.79092025757</v>
      </c>
      <c r="P27">
        <v>1010.81109809875</v>
      </c>
      <c r="Q27">
        <v>661.75293922424305</v>
      </c>
      <c r="S27" s="5">
        <f t="shared" si="2"/>
        <v>1048.127963304519</v>
      </c>
      <c r="T27" s="5">
        <f t="shared" si="3"/>
        <v>988.86587569802145</v>
      </c>
      <c r="U27" s="5"/>
      <c r="V27" s="7">
        <v>1042.9013281519699</v>
      </c>
      <c r="W27" s="10"/>
      <c r="X27" s="5"/>
      <c r="Y27" s="2">
        <f t="shared" si="1"/>
        <v>38.961315502502046</v>
      </c>
      <c r="Z27" s="10">
        <f t="shared" si="4"/>
        <v>41.090312329187611</v>
      </c>
    </row>
    <row r="28" spans="1:26" x14ac:dyDescent="0.3">
      <c r="A28" s="2">
        <v>1924</v>
      </c>
      <c r="B28">
        <v>480.48778343200701</v>
      </c>
      <c r="C28">
        <v>448.07167339325002</v>
      </c>
      <c r="D28">
        <v>434.47937107086199</v>
      </c>
      <c r="E28">
        <v>449.610041618347</v>
      </c>
      <c r="F28">
        <v>535.72372531890903</v>
      </c>
      <c r="G28">
        <v>621.42670249938999</v>
      </c>
      <c r="H28">
        <v>758.20688819885299</v>
      </c>
      <c r="I28">
        <v>377.917764663696</v>
      </c>
      <c r="J28">
        <v>477.76031446456898</v>
      </c>
      <c r="K28">
        <v>459.87548160553001</v>
      </c>
      <c r="L28">
        <v>602.49049186706497</v>
      </c>
      <c r="M28">
        <v>499.69942092895502</v>
      </c>
      <c r="N28">
        <v>575.60224246978805</v>
      </c>
      <c r="O28">
        <v>554.847067832947</v>
      </c>
      <c r="P28">
        <v>497.43238258361799</v>
      </c>
      <c r="Q28">
        <v>343.11218261718801</v>
      </c>
      <c r="S28" s="5">
        <f t="shared" si="2"/>
        <v>507.29647091031092</v>
      </c>
      <c r="T28" s="5">
        <f t="shared" si="3"/>
        <v>491.0781116570538</v>
      </c>
      <c r="U28" s="5"/>
      <c r="V28" s="7">
        <v>494.39351906626899</v>
      </c>
      <c r="W28" s="10"/>
      <c r="X28" s="5"/>
      <c r="Y28" s="2">
        <f t="shared" si="1"/>
        <v>19.348477599287918</v>
      </c>
      <c r="Z28" s="10">
        <f t="shared" si="4"/>
        <v>19.479104651210996</v>
      </c>
    </row>
    <row r="29" spans="1:26" x14ac:dyDescent="0.3">
      <c r="A29" s="2">
        <v>1925</v>
      </c>
      <c r="B29">
        <v>913.24024581909202</v>
      </c>
      <c r="C29">
        <v>861.04723358154297</v>
      </c>
      <c r="D29">
        <v>826.27187347412098</v>
      </c>
      <c r="E29">
        <v>848.33845901489303</v>
      </c>
      <c r="F29">
        <v>990.50147247314499</v>
      </c>
      <c r="G29">
        <v>1148.5047264099101</v>
      </c>
      <c r="H29">
        <v>1444.20236587524</v>
      </c>
      <c r="I29">
        <v>700.90320205688499</v>
      </c>
      <c r="J29">
        <v>907.64034080505405</v>
      </c>
      <c r="K29">
        <v>891.15997695922897</v>
      </c>
      <c r="L29">
        <v>1160.20554351807</v>
      </c>
      <c r="M29">
        <v>985.88497543334995</v>
      </c>
      <c r="N29">
        <v>1205.8988533019999</v>
      </c>
      <c r="O29">
        <v>1102.65187454224</v>
      </c>
      <c r="P29">
        <v>998.21073913574196</v>
      </c>
      <c r="Q29">
        <v>628.05838394165005</v>
      </c>
      <c r="S29" s="5">
        <f t="shared" si="2"/>
        <v>975.79501664638519</v>
      </c>
      <c r="T29" s="5">
        <f t="shared" si="3"/>
        <v>949.35259745549934</v>
      </c>
      <c r="U29" s="5"/>
      <c r="V29" s="7">
        <v>939.18816032246104</v>
      </c>
      <c r="W29" s="10"/>
      <c r="X29" s="5"/>
      <c r="Y29" s="2">
        <f t="shared" si="1"/>
        <v>37.404492339746675</v>
      </c>
      <c r="Z29" s="10">
        <f t="shared" si="4"/>
        <v>37.004013516704966</v>
      </c>
    </row>
    <row r="30" spans="1:26" x14ac:dyDescent="0.3">
      <c r="A30" s="2">
        <v>1926</v>
      </c>
      <c r="B30">
        <v>691.01078510284401</v>
      </c>
      <c r="C30">
        <v>650.29170560836803</v>
      </c>
      <c r="D30">
        <v>629.96930217742897</v>
      </c>
      <c r="E30">
        <v>644.02500295639004</v>
      </c>
      <c r="F30">
        <v>749.93718481063797</v>
      </c>
      <c r="G30">
        <v>833.04255485534702</v>
      </c>
      <c r="H30">
        <v>1013.02922344208</v>
      </c>
      <c r="I30">
        <v>582.47883892059303</v>
      </c>
      <c r="J30">
        <v>694.04013442993198</v>
      </c>
      <c r="K30">
        <v>739.03726863861095</v>
      </c>
      <c r="L30">
        <v>956.91812896728504</v>
      </c>
      <c r="M30">
        <v>779.45712947845504</v>
      </c>
      <c r="N30">
        <v>953.99742126464798</v>
      </c>
      <c r="O30">
        <v>835.24996948242199</v>
      </c>
      <c r="P30">
        <v>793.26883220672596</v>
      </c>
      <c r="Q30">
        <v>510.89979839325002</v>
      </c>
      <c r="S30" s="5">
        <f t="shared" si="2"/>
        <v>753.54083004593861</v>
      </c>
      <c r="T30" s="5">
        <f t="shared" si="3"/>
        <v>752.26111186907588</v>
      </c>
      <c r="U30" s="5"/>
      <c r="V30" s="7">
        <v>710.28949531858495</v>
      </c>
      <c r="W30" s="10"/>
      <c r="X30" s="5"/>
      <c r="Y30" s="2">
        <f t="shared" si="1"/>
        <v>29.639087807641587</v>
      </c>
      <c r="Z30" s="10">
        <f t="shared" si="4"/>
        <v>27.985406115552244</v>
      </c>
    </row>
    <row r="31" spans="1:26" x14ac:dyDescent="0.3">
      <c r="A31" s="2">
        <v>1927</v>
      </c>
      <c r="B31">
        <v>865.69497585296597</v>
      </c>
      <c r="C31">
        <v>812.33883857727005</v>
      </c>
      <c r="D31">
        <v>785.25019264221203</v>
      </c>
      <c r="E31">
        <v>815.96362495422397</v>
      </c>
      <c r="F31">
        <v>988.61775016784702</v>
      </c>
      <c r="G31">
        <v>1134.8514289856</v>
      </c>
      <c r="H31">
        <v>1424.1446723938</v>
      </c>
      <c r="I31">
        <v>675.52012825012196</v>
      </c>
      <c r="J31">
        <v>854.23861122131302</v>
      </c>
      <c r="K31">
        <v>841.00223731994595</v>
      </c>
      <c r="L31">
        <v>1110.3122272491501</v>
      </c>
      <c r="M31">
        <v>978.76440048217796</v>
      </c>
      <c r="N31">
        <v>1048.3676471710201</v>
      </c>
      <c r="O31">
        <v>1068.71057510376</v>
      </c>
      <c r="P31">
        <v>906.55294609069801</v>
      </c>
      <c r="Q31">
        <v>595.09142875671398</v>
      </c>
      <c r="S31" s="5">
        <f t="shared" si="2"/>
        <v>931.58885532617637</v>
      </c>
      <c r="T31" s="5">
        <f t="shared" si="3"/>
        <v>903.78214948188065</v>
      </c>
      <c r="U31" s="5"/>
      <c r="V31" s="7">
        <v>900.42937298695597</v>
      </c>
      <c r="W31" s="10"/>
      <c r="X31" s="5"/>
      <c r="Y31" s="2">
        <f t="shared" si="1"/>
        <v>35.609016689586099</v>
      </c>
      <c r="Z31" s="10">
        <f t="shared" si="4"/>
        <v>35.476917295686064</v>
      </c>
    </row>
    <row r="32" spans="1:26" x14ac:dyDescent="0.3">
      <c r="A32" s="2">
        <v>1928</v>
      </c>
      <c r="B32">
        <v>774.35979461669899</v>
      </c>
      <c r="C32">
        <v>728.25624990463302</v>
      </c>
      <c r="D32">
        <v>702.96140336990402</v>
      </c>
      <c r="E32">
        <v>716.36399078369095</v>
      </c>
      <c r="F32">
        <v>835.47741603851296</v>
      </c>
      <c r="G32">
        <v>931.86785411834705</v>
      </c>
      <c r="H32">
        <v>1132.0091838836699</v>
      </c>
      <c r="I32">
        <v>503.918422222137</v>
      </c>
      <c r="J32">
        <v>676.04209041595504</v>
      </c>
      <c r="K32">
        <v>626.82180118560802</v>
      </c>
      <c r="L32">
        <v>857.39666843414295</v>
      </c>
      <c r="M32">
        <v>755.67692375183105</v>
      </c>
      <c r="N32">
        <v>771.79080104827904</v>
      </c>
      <c r="O32">
        <v>842.77604293823197</v>
      </c>
      <c r="P32">
        <v>682.77482414245605</v>
      </c>
      <c r="Q32">
        <v>467.09308767318697</v>
      </c>
      <c r="S32" s="5">
        <f t="shared" si="2"/>
        <v>750.34915965795528</v>
      </c>
      <c r="T32" s="5">
        <f t="shared" si="3"/>
        <v>703.82381512059715</v>
      </c>
      <c r="U32" s="5"/>
      <c r="V32" s="7">
        <v>746.35002911483798</v>
      </c>
      <c r="W32" s="10"/>
      <c r="X32" s="5"/>
      <c r="Y32" s="2">
        <f t="shared" si="1"/>
        <v>27.730658315751526</v>
      </c>
      <c r="Z32" s="10">
        <f t="shared" si="4"/>
        <v>29.406191147124616</v>
      </c>
    </row>
    <row r="33" spans="1:26" x14ac:dyDescent="0.3">
      <c r="A33" s="2">
        <v>1929</v>
      </c>
      <c r="B33">
        <v>1065.28159713745</v>
      </c>
      <c r="C33">
        <v>996.24297904968296</v>
      </c>
      <c r="D33">
        <v>956.71983051300003</v>
      </c>
      <c r="E33">
        <v>981.80169105529797</v>
      </c>
      <c r="F33">
        <v>1181.6376180648799</v>
      </c>
      <c r="G33">
        <v>1344.25232124329</v>
      </c>
      <c r="H33">
        <v>1649.94411277771</v>
      </c>
      <c r="I33">
        <v>665.95940399169899</v>
      </c>
      <c r="J33">
        <v>808.41199111938499</v>
      </c>
      <c r="K33">
        <v>848.41252708435104</v>
      </c>
      <c r="L33">
        <v>1075.0714406967199</v>
      </c>
      <c r="M33">
        <v>1045.19519519806</v>
      </c>
      <c r="N33">
        <v>1167.5342683792101</v>
      </c>
      <c r="O33">
        <v>1186.88845443726</v>
      </c>
      <c r="P33">
        <v>1028.1715383529699</v>
      </c>
      <c r="Q33">
        <v>645.49581623077404</v>
      </c>
      <c r="S33" s="5">
        <f t="shared" si="2"/>
        <v>1040.4387990832338</v>
      </c>
      <c r="T33" s="5">
        <f t="shared" si="3"/>
        <v>958.40629924678001</v>
      </c>
      <c r="U33" s="5"/>
      <c r="V33" s="7">
        <v>1053.3449918961701</v>
      </c>
      <c r="W33" s="10"/>
      <c r="X33" s="5"/>
      <c r="Y33" s="2">
        <f t="shared" si="1"/>
        <v>37.761208190323131</v>
      </c>
      <c r="Z33" s="10">
        <f t="shared" si="4"/>
        <v>41.501792680709102</v>
      </c>
    </row>
    <row r="34" spans="1:26" x14ac:dyDescent="0.3">
      <c r="A34" s="2">
        <v>1930</v>
      </c>
      <c r="B34">
        <v>719.48348903655994</v>
      </c>
      <c r="C34">
        <v>691.25262832641602</v>
      </c>
      <c r="D34">
        <v>674.13677692413296</v>
      </c>
      <c r="E34">
        <v>687.88320446014404</v>
      </c>
      <c r="F34">
        <v>785.990077972412</v>
      </c>
      <c r="G34">
        <v>846.36490345001198</v>
      </c>
      <c r="H34">
        <v>1004.44379234314</v>
      </c>
      <c r="I34">
        <v>556.65726947784401</v>
      </c>
      <c r="J34">
        <v>648.04220390319801</v>
      </c>
      <c r="K34">
        <v>689.306396484375</v>
      </c>
      <c r="L34">
        <v>888.00138854980503</v>
      </c>
      <c r="M34">
        <v>766.00005817413296</v>
      </c>
      <c r="N34">
        <v>830.63429832458496</v>
      </c>
      <c r="O34">
        <v>815.77921485900902</v>
      </c>
      <c r="P34">
        <v>707.95845127105702</v>
      </c>
      <c r="Q34">
        <v>505.72007226943998</v>
      </c>
      <c r="S34" s="5">
        <f t="shared" si="2"/>
        <v>738.60338911414135</v>
      </c>
      <c r="T34" s="5">
        <f t="shared" si="3"/>
        <v>717.68492880790143</v>
      </c>
      <c r="U34" s="5"/>
      <c r="V34" s="7">
        <v>716.31543223532697</v>
      </c>
      <c r="W34" s="10"/>
      <c r="X34" s="5"/>
      <c r="Y34" s="2">
        <f t="shared" si="1"/>
        <v>28.276786195031313</v>
      </c>
      <c r="Z34" s="10">
        <f t="shared" si="4"/>
        <v>28.222828030071881</v>
      </c>
    </row>
    <row r="35" spans="1:26" x14ac:dyDescent="0.3">
      <c r="A35" s="2">
        <v>1931</v>
      </c>
      <c r="B35">
        <v>538.33848738670304</v>
      </c>
      <c r="C35">
        <v>506.07176399231003</v>
      </c>
      <c r="D35">
        <v>489.06654095649702</v>
      </c>
      <c r="E35">
        <v>498.01244759559597</v>
      </c>
      <c r="F35">
        <v>582.35468626022305</v>
      </c>
      <c r="G35">
        <v>641.936148881912</v>
      </c>
      <c r="H35">
        <v>794.21025729179405</v>
      </c>
      <c r="I35">
        <v>393.79678153991699</v>
      </c>
      <c r="J35">
        <v>472.94775581359897</v>
      </c>
      <c r="K35">
        <v>482.83523750305199</v>
      </c>
      <c r="L35">
        <v>642.81569576263405</v>
      </c>
      <c r="M35">
        <v>564.05652379989601</v>
      </c>
      <c r="N35">
        <v>588.19186592102005</v>
      </c>
      <c r="O35">
        <v>617.97629857063305</v>
      </c>
      <c r="P35">
        <v>498.457103252411</v>
      </c>
      <c r="Q35">
        <v>353.31466627121</v>
      </c>
      <c r="S35" s="5">
        <f t="shared" si="2"/>
        <v>541.52389129996288</v>
      </c>
      <c r="T35" s="5">
        <f t="shared" si="3"/>
        <v>519.57096653826795</v>
      </c>
      <c r="U35" s="5"/>
      <c r="V35" s="7">
        <v>527.64898009881904</v>
      </c>
      <c r="W35" s="10"/>
      <c r="X35" s="5"/>
      <c r="Y35" s="2">
        <f t="shared" si="1"/>
        <v>20.471096081607755</v>
      </c>
      <c r="Z35" s="10">
        <f t="shared" si="4"/>
        <v>20.789369815893469</v>
      </c>
    </row>
    <row r="36" spans="1:26" x14ac:dyDescent="0.3">
      <c r="A36" s="2">
        <v>1932</v>
      </c>
      <c r="B36">
        <v>841.231569945812</v>
      </c>
      <c r="C36">
        <v>769.84858202934299</v>
      </c>
      <c r="D36">
        <v>731.25988304614998</v>
      </c>
      <c r="E36">
        <v>744.619472503662</v>
      </c>
      <c r="F36">
        <v>870.49239730834995</v>
      </c>
      <c r="G36">
        <v>1003.01102876663</v>
      </c>
      <c r="H36">
        <v>1250.2121500968899</v>
      </c>
      <c r="I36">
        <v>632.26704269647598</v>
      </c>
      <c r="J36">
        <v>787.89100944995903</v>
      </c>
      <c r="K36">
        <v>793.06842160224903</v>
      </c>
      <c r="L36">
        <v>1093.58067810535</v>
      </c>
      <c r="M36">
        <v>869.12513923644997</v>
      </c>
      <c r="N36">
        <v>946.03071784973099</v>
      </c>
      <c r="O36">
        <v>970.61706638336204</v>
      </c>
      <c r="P36">
        <v>813.39459964632999</v>
      </c>
      <c r="Q36">
        <v>544.49908745288803</v>
      </c>
      <c r="S36" s="5">
        <f t="shared" si="2"/>
        <v>853.82180288247707</v>
      </c>
      <c r="T36" s="5">
        <f t="shared" si="3"/>
        <v>834.73506366897413</v>
      </c>
      <c r="U36" s="5"/>
      <c r="V36" s="7">
        <v>820.49677806620002</v>
      </c>
      <c r="W36" s="10"/>
      <c r="X36" s="5"/>
      <c r="Y36" s="2">
        <f t="shared" si="1"/>
        <v>32.888561508557579</v>
      </c>
      <c r="Z36" s="10">
        <f t="shared" si="4"/>
        <v>32.32757305580828</v>
      </c>
    </row>
    <row r="37" spans="1:26" x14ac:dyDescent="0.3">
      <c r="A37" s="2">
        <v>1933</v>
      </c>
      <c r="B37">
        <v>740.37889289856003</v>
      </c>
      <c r="C37">
        <v>676.57580268383003</v>
      </c>
      <c r="D37">
        <v>633.20012283325195</v>
      </c>
      <c r="E37">
        <v>641.10414814949002</v>
      </c>
      <c r="F37">
        <v>777.76027131080605</v>
      </c>
      <c r="G37">
        <v>923.94992184639</v>
      </c>
      <c r="H37">
        <v>1154.1565144061999</v>
      </c>
      <c r="I37">
        <v>490.583506822586</v>
      </c>
      <c r="J37">
        <v>574.83910083770797</v>
      </c>
      <c r="K37">
        <v>617.777364015579</v>
      </c>
      <c r="L37">
        <v>816.71508741378796</v>
      </c>
      <c r="M37">
        <v>685.87520301341999</v>
      </c>
      <c r="N37">
        <v>794.99070024490402</v>
      </c>
      <c r="O37">
        <v>792.21968257427204</v>
      </c>
      <c r="P37">
        <v>681.111804008484</v>
      </c>
      <c r="Q37">
        <v>416.02801656723</v>
      </c>
      <c r="S37" s="5">
        <f t="shared" si="2"/>
        <v>713.5791337266561</v>
      </c>
      <c r="T37" s="5">
        <f t="shared" ref="T37:T68" si="5">(B37*$B$3)+(C37*$C$3)+(D37*$D$3)+(E37*$E$3)+(F37*$F$3)+(G37*$G$3)+(H37*$H$3)+(I37*$I$3)+(J37*$J$3)+(K37*$K$3)+(L37*$L$3)+(M37*$M$3)+(N37*$N$3)+(O37*$O$3)+(P37*$P$3)+(Q37*$Q$3)</f>
        <v>663.4811967449225</v>
      </c>
      <c r="U37" s="5"/>
      <c r="V37" s="7">
        <v>710.09940579257704</v>
      </c>
      <c r="W37" s="10"/>
      <c r="X37" s="5"/>
      <c r="Y37" s="2">
        <f t="shared" ref="Y37:Y68" si="6">T37*0.0394</f>
        <v>26.141159151749946</v>
      </c>
      <c r="Z37" s="10">
        <f t="shared" si="4"/>
        <v>27.977916588227533</v>
      </c>
    </row>
    <row r="38" spans="1:26" x14ac:dyDescent="0.3">
      <c r="A38" s="2">
        <v>1934</v>
      </c>
      <c r="B38">
        <v>471.80597209930397</v>
      </c>
      <c r="C38">
        <v>430.678031921387</v>
      </c>
      <c r="D38">
        <v>407.02300453186001</v>
      </c>
      <c r="E38">
        <v>419.873002529144</v>
      </c>
      <c r="F38">
        <v>513.02620649337803</v>
      </c>
      <c r="G38">
        <v>610.82377290725697</v>
      </c>
      <c r="H38">
        <v>762.82936096191395</v>
      </c>
      <c r="I38">
        <v>359.013571739197</v>
      </c>
      <c r="J38">
        <v>464.41088914871199</v>
      </c>
      <c r="K38">
        <v>449.89075922965998</v>
      </c>
      <c r="L38">
        <v>592.85930871963501</v>
      </c>
      <c r="M38">
        <v>474.911946773529</v>
      </c>
      <c r="N38">
        <v>563.51737737655606</v>
      </c>
      <c r="O38">
        <v>543.734972476959</v>
      </c>
      <c r="P38">
        <v>476.21532106399502</v>
      </c>
      <c r="Q38">
        <v>290.72728967666598</v>
      </c>
      <c r="S38" s="5">
        <f t="shared" si="2"/>
        <v>489.45879922807217</v>
      </c>
      <c r="T38" s="5">
        <f t="shared" si="5"/>
        <v>470.79907263857348</v>
      </c>
      <c r="U38" s="5"/>
      <c r="V38" s="7">
        <v>472.28314429984698</v>
      </c>
      <c r="W38" s="10"/>
      <c r="X38" s="5"/>
      <c r="Y38" s="2">
        <f t="shared" si="6"/>
        <v>18.549483461959795</v>
      </c>
      <c r="Z38" s="10">
        <f t="shared" si="4"/>
        <v>18.607955885413968</v>
      </c>
    </row>
    <row r="39" spans="1:26" x14ac:dyDescent="0.3">
      <c r="A39" s="2">
        <v>1935</v>
      </c>
      <c r="B39">
        <v>826.94431400299095</v>
      </c>
      <c r="C39">
        <v>767.21164798736595</v>
      </c>
      <c r="D39">
        <v>718.46870517730702</v>
      </c>
      <c r="E39">
        <v>715.44375705719006</v>
      </c>
      <c r="F39">
        <v>823.22528362274204</v>
      </c>
      <c r="G39">
        <v>912.33666944503796</v>
      </c>
      <c r="H39">
        <v>1149.2004871368399</v>
      </c>
      <c r="I39">
        <v>529.73709273338295</v>
      </c>
      <c r="J39">
        <v>691.93917369842495</v>
      </c>
      <c r="K39">
        <v>640.33992433547996</v>
      </c>
      <c r="L39">
        <v>853.37434732914005</v>
      </c>
      <c r="M39">
        <v>730.64426469802902</v>
      </c>
      <c r="N39">
        <v>808.77296090126003</v>
      </c>
      <c r="O39">
        <v>842.38822031021095</v>
      </c>
      <c r="P39">
        <v>721.51894783973705</v>
      </c>
      <c r="Q39">
        <v>476.94042706489603</v>
      </c>
      <c r="S39" s="5">
        <f t="shared" si="2"/>
        <v>763.03038895875216</v>
      </c>
      <c r="T39" s="5">
        <f t="shared" si="5"/>
        <v>711.55946412223398</v>
      </c>
      <c r="U39" s="5"/>
      <c r="V39" s="7">
        <v>758.48109456477198</v>
      </c>
      <c r="W39" s="10"/>
      <c r="X39" s="5"/>
      <c r="Y39" s="2">
        <f t="shared" si="6"/>
        <v>28.035442886416018</v>
      </c>
      <c r="Z39" s="10">
        <f t="shared" si="4"/>
        <v>29.884155125852015</v>
      </c>
    </row>
    <row r="40" spans="1:26" x14ac:dyDescent="0.3">
      <c r="A40" s="2">
        <v>1936</v>
      </c>
      <c r="B40">
        <v>949.752297401428</v>
      </c>
      <c r="C40">
        <v>909.78739643096901</v>
      </c>
      <c r="D40">
        <v>846.82265472412098</v>
      </c>
      <c r="E40">
        <v>835.107860565186</v>
      </c>
      <c r="F40">
        <v>967.97983741760299</v>
      </c>
      <c r="G40">
        <v>1127.09170055389</v>
      </c>
      <c r="H40">
        <v>1331.21363258362</v>
      </c>
      <c r="I40">
        <v>648.32166671752896</v>
      </c>
      <c r="J40">
        <v>913.06813812255905</v>
      </c>
      <c r="K40">
        <v>830.50364398956299</v>
      </c>
      <c r="L40">
        <v>1112.39500427246</v>
      </c>
      <c r="M40">
        <v>884.85563087463402</v>
      </c>
      <c r="N40">
        <v>1026.61035728455</v>
      </c>
      <c r="O40">
        <v>999.90158462524403</v>
      </c>
      <c r="P40">
        <v>885.36104106903099</v>
      </c>
      <c r="Q40">
        <v>543.43790245056198</v>
      </c>
      <c r="S40" s="5">
        <f t="shared" si="2"/>
        <v>925.76314681768417</v>
      </c>
      <c r="T40" s="5">
        <f t="shared" si="5"/>
        <v>881.15992372712617</v>
      </c>
      <c r="U40" s="5"/>
      <c r="V40" s="7">
        <v>901.92559128923006</v>
      </c>
      <c r="W40" s="10"/>
      <c r="X40" s="5"/>
      <c r="Y40" s="2">
        <f t="shared" si="6"/>
        <v>34.717700994848769</v>
      </c>
      <c r="Z40" s="10">
        <f t="shared" si="4"/>
        <v>35.535868296795663</v>
      </c>
    </row>
    <row r="41" spans="1:26" x14ac:dyDescent="0.3">
      <c r="A41" s="2">
        <v>1937</v>
      </c>
      <c r="B41">
        <v>829.201954841614</v>
      </c>
      <c r="C41">
        <v>770.942770957947</v>
      </c>
      <c r="D41">
        <v>744.05688571929898</v>
      </c>
      <c r="E41">
        <v>757.15841484069801</v>
      </c>
      <c r="F41">
        <v>869.19375133514404</v>
      </c>
      <c r="G41">
        <v>974.50473785400402</v>
      </c>
      <c r="H41">
        <v>1203.71508216858</v>
      </c>
      <c r="I41">
        <v>630.18361663818405</v>
      </c>
      <c r="J41">
        <v>733.22906637191795</v>
      </c>
      <c r="K41">
        <v>810.46462059020996</v>
      </c>
      <c r="L41">
        <v>1095.89194583893</v>
      </c>
      <c r="M41">
        <v>861.69697380065895</v>
      </c>
      <c r="N41">
        <v>983.89953804016102</v>
      </c>
      <c r="O41">
        <v>963.41433334350597</v>
      </c>
      <c r="P41">
        <v>851.72384643554699</v>
      </c>
      <c r="Q41">
        <v>561.77510356903099</v>
      </c>
      <c r="S41" s="5">
        <f t="shared" si="2"/>
        <v>852.56579014658951</v>
      </c>
      <c r="T41" s="5">
        <f t="shared" si="5"/>
        <v>836.79196299274213</v>
      </c>
      <c r="U41" s="5"/>
      <c r="V41" s="7">
        <v>821.92824993719501</v>
      </c>
      <c r="W41" s="10"/>
      <c r="X41" s="5"/>
      <c r="Y41" s="2">
        <f t="shared" si="6"/>
        <v>32.969603341914038</v>
      </c>
      <c r="Z41" s="10">
        <f t="shared" si="4"/>
        <v>32.38397304752548</v>
      </c>
    </row>
    <row r="42" spans="1:26" x14ac:dyDescent="0.3">
      <c r="A42" s="2">
        <v>1938</v>
      </c>
      <c r="B42">
        <v>861.88631057739303</v>
      </c>
      <c r="C42">
        <v>810.30963134765602</v>
      </c>
      <c r="D42">
        <v>776.81305599212601</v>
      </c>
      <c r="E42">
        <v>797.508532524109</v>
      </c>
      <c r="F42">
        <v>945.49477863311802</v>
      </c>
      <c r="G42">
        <v>1083.1602230072001</v>
      </c>
      <c r="H42">
        <v>1349.0478944778399</v>
      </c>
      <c r="I42">
        <v>611.10723781585705</v>
      </c>
      <c r="J42">
        <v>859.67278385162399</v>
      </c>
      <c r="K42">
        <v>748.53101444244396</v>
      </c>
      <c r="L42">
        <v>1004.89360904694</v>
      </c>
      <c r="M42">
        <v>897.097593307495</v>
      </c>
      <c r="N42">
        <v>907.90853786468494</v>
      </c>
      <c r="O42">
        <v>995.71134567260697</v>
      </c>
      <c r="P42">
        <v>797.01890373230003</v>
      </c>
      <c r="Q42">
        <v>558.24198532104504</v>
      </c>
      <c r="S42" s="5">
        <f t="shared" si="2"/>
        <v>875.27521485090244</v>
      </c>
      <c r="T42" s="5">
        <f t="shared" si="5"/>
        <v>834.8965920682989</v>
      </c>
      <c r="U42" s="5"/>
      <c r="V42" s="7">
        <v>859.52633662861399</v>
      </c>
      <c r="W42" s="10"/>
      <c r="X42" s="5"/>
      <c r="Y42" s="2">
        <f t="shared" si="6"/>
        <v>32.894925727490971</v>
      </c>
      <c r="Z42" s="10">
        <f t="shared" si="4"/>
        <v>33.865337663167388</v>
      </c>
    </row>
    <row r="43" spans="1:26" x14ac:dyDescent="0.3">
      <c r="A43" s="2">
        <v>1939</v>
      </c>
      <c r="B43">
        <v>687.64411258697498</v>
      </c>
      <c r="C43">
        <v>649.40147686004605</v>
      </c>
      <c r="D43">
        <v>633.90976905822799</v>
      </c>
      <c r="E43">
        <v>648.10927391052201</v>
      </c>
      <c r="F43">
        <v>747.960499763489</v>
      </c>
      <c r="G43">
        <v>823.86658954620395</v>
      </c>
      <c r="H43">
        <v>1029.36094284058</v>
      </c>
      <c r="I43">
        <v>514.28525066375698</v>
      </c>
      <c r="J43">
        <v>679.50165224075295</v>
      </c>
      <c r="K43">
        <v>636.58818435669002</v>
      </c>
      <c r="L43">
        <v>858.69738483429001</v>
      </c>
      <c r="M43">
        <v>742.06109237670898</v>
      </c>
      <c r="N43">
        <v>795.718068122864</v>
      </c>
      <c r="O43">
        <v>807.58151245117199</v>
      </c>
      <c r="P43">
        <v>700.98406124115002</v>
      </c>
      <c r="Q43">
        <v>469.65179824829102</v>
      </c>
      <c r="S43" s="5">
        <f t="shared" si="2"/>
        <v>714.08260431885753</v>
      </c>
      <c r="T43" s="5">
        <f t="shared" si="5"/>
        <v>693.93121649175544</v>
      </c>
      <c r="U43" s="5"/>
      <c r="V43" s="7">
        <v>691.93388670671902</v>
      </c>
      <c r="W43" s="10"/>
      <c r="X43" s="5"/>
      <c r="Y43" s="2">
        <f t="shared" si="6"/>
        <v>27.340889929775162</v>
      </c>
      <c r="Z43" s="10">
        <f t="shared" si="4"/>
        <v>27.262195136244728</v>
      </c>
    </row>
    <row r="44" spans="1:26" x14ac:dyDescent="0.3">
      <c r="A44" s="2">
        <v>1940</v>
      </c>
      <c r="B44">
        <v>791.57705605030105</v>
      </c>
      <c r="C44">
        <v>728.63641756772995</v>
      </c>
      <c r="D44">
        <v>667.96467411518097</v>
      </c>
      <c r="E44">
        <v>645.75594532489799</v>
      </c>
      <c r="F44">
        <v>725.97631525993302</v>
      </c>
      <c r="G44">
        <v>767.95438551902805</v>
      </c>
      <c r="H44">
        <v>950.72420716285706</v>
      </c>
      <c r="I44">
        <v>509.096899032593</v>
      </c>
      <c r="J44">
        <v>662.58849620819103</v>
      </c>
      <c r="K44">
        <v>644.51092147827103</v>
      </c>
      <c r="L44">
        <v>842.77487373352005</v>
      </c>
      <c r="M44">
        <v>737.39488294720604</v>
      </c>
      <c r="N44">
        <v>794.99599027633701</v>
      </c>
      <c r="O44">
        <v>794.76848429441498</v>
      </c>
      <c r="P44">
        <v>700.46093779035505</v>
      </c>
      <c r="Q44">
        <v>456.28701566072402</v>
      </c>
      <c r="S44" s="5">
        <f t="shared" si="2"/>
        <v>713.84171890134621</v>
      </c>
      <c r="T44" s="5">
        <f t="shared" si="5"/>
        <v>686.03217195663603</v>
      </c>
      <c r="U44" s="5"/>
      <c r="V44" s="7">
        <v>691.74068487110799</v>
      </c>
      <c r="W44" s="10"/>
      <c r="X44" s="5"/>
      <c r="Y44" s="2">
        <f t="shared" si="6"/>
        <v>27.029667575091459</v>
      </c>
      <c r="Z44" s="10">
        <f t="shared" si="4"/>
        <v>27.254582983921654</v>
      </c>
    </row>
    <row r="45" spans="1:26" x14ac:dyDescent="0.3">
      <c r="A45" s="2">
        <v>1941</v>
      </c>
      <c r="B45">
        <v>847.89070701599098</v>
      </c>
      <c r="C45">
        <v>809.28639411926304</v>
      </c>
      <c r="D45">
        <v>771.03024673461903</v>
      </c>
      <c r="E45">
        <v>811.68742561340298</v>
      </c>
      <c r="F45">
        <v>955.84036445617699</v>
      </c>
      <c r="G45">
        <v>1045.44345474243</v>
      </c>
      <c r="H45">
        <v>1278.00466537476</v>
      </c>
      <c r="I45">
        <v>672.18325233459495</v>
      </c>
      <c r="J45">
        <v>764.73875999450695</v>
      </c>
      <c r="K45">
        <v>802.24971008300804</v>
      </c>
      <c r="L45">
        <v>1024.52210235596</v>
      </c>
      <c r="M45">
        <v>883.10081481933605</v>
      </c>
      <c r="N45">
        <v>979.30036163330101</v>
      </c>
      <c r="O45">
        <v>962.56969070434604</v>
      </c>
      <c r="P45">
        <v>853.26527786254906</v>
      </c>
      <c r="Q45">
        <v>601.47353744506802</v>
      </c>
      <c r="S45" s="5">
        <f t="shared" si="2"/>
        <v>878.91167283058201</v>
      </c>
      <c r="T45" s="5">
        <f t="shared" si="5"/>
        <v>845.53720400725854</v>
      </c>
      <c r="U45" s="5"/>
      <c r="V45" s="7">
        <v>861.51341124985595</v>
      </c>
      <c r="W45" s="10"/>
      <c r="X45" s="5"/>
      <c r="Y45" s="2">
        <f t="shared" si="6"/>
        <v>33.314165837885987</v>
      </c>
      <c r="Z45" s="10">
        <f t="shared" si="4"/>
        <v>33.943628403244325</v>
      </c>
    </row>
    <row r="46" spans="1:26" x14ac:dyDescent="0.3">
      <c r="A46" s="2">
        <v>1942</v>
      </c>
      <c r="B46">
        <v>883.39476776123001</v>
      </c>
      <c r="C46">
        <v>821.69714641570999</v>
      </c>
      <c r="D46">
        <v>768.61558341980003</v>
      </c>
      <c r="E46">
        <v>793.36132431030296</v>
      </c>
      <c r="F46">
        <v>966.13560009002697</v>
      </c>
      <c r="G46">
        <v>1088.70517539978</v>
      </c>
      <c r="H46">
        <v>1377.7709674835201</v>
      </c>
      <c r="I46">
        <v>605.98020553588901</v>
      </c>
      <c r="J46">
        <v>707.80741500854504</v>
      </c>
      <c r="K46">
        <v>703.16736412048294</v>
      </c>
      <c r="L46">
        <v>1027.59325218201</v>
      </c>
      <c r="M46">
        <v>829.16896057128895</v>
      </c>
      <c r="N46">
        <v>953.09800338745094</v>
      </c>
      <c r="O46">
        <v>929.97393035888695</v>
      </c>
      <c r="P46">
        <v>812.99923706054699</v>
      </c>
      <c r="Q46">
        <v>533.91764068603504</v>
      </c>
      <c r="S46" s="5">
        <f t="shared" si="2"/>
        <v>862.71166086196911</v>
      </c>
      <c r="T46" s="5">
        <f t="shared" si="5"/>
        <v>802.49990215932758</v>
      </c>
      <c r="U46" s="5"/>
      <c r="V46" s="7">
        <v>855.74757977005095</v>
      </c>
      <c r="W46" s="10"/>
      <c r="X46" s="5"/>
      <c r="Y46" s="2">
        <f t="shared" si="6"/>
        <v>31.618496145077504</v>
      </c>
      <c r="Z46" s="10">
        <f t="shared" si="4"/>
        <v>33.716454642940008</v>
      </c>
    </row>
    <row r="47" spans="1:26" x14ac:dyDescent="0.3">
      <c r="A47" s="2">
        <v>1943</v>
      </c>
      <c r="B47">
        <v>773.54284214973404</v>
      </c>
      <c r="C47">
        <v>724.27574443817105</v>
      </c>
      <c r="D47">
        <v>693.69794511794998</v>
      </c>
      <c r="E47">
        <v>711.64745116233803</v>
      </c>
      <c r="F47">
        <v>847.65677952766396</v>
      </c>
      <c r="G47">
        <v>990.63204908370994</v>
      </c>
      <c r="H47">
        <v>1252.5965194702101</v>
      </c>
      <c r="I47">
        <v>576.09794569015503</v>
      </c>
      <c r="J47">
        <v>784.70250415802002</v>
      </c>
      <c r="K47">
        <v>713.06722593307495</v>
      </c>
      <c r="L47">
        <v>940.28136682510399</v>
      </c>
      <c r="M47">
        <v>796.20290422439598</v>
      </c>
      <c r="N47">
        <v>859.50193929672196</v>
      </c>
      <c r="O47">
        <v>892.49746227264404</v>
      </c>
      <c r="P47">
        <v>731.73631954193104</v>
      </c>
      <c r="Q47">
        <v>513.68260812759399</v>
      </c>
      <c r="S47" s="5">
        <f t="shared" si="2"/>
        <v>800.11372543871369</v>
      </c>
      <c r="T47" s="5">
        <f t="shared" si="5"/>
        <v>767.75881000922448</v>
      </c>
      <c r="U47" s="5"/>
      <c r="V47" s="7">
        <v>778.927119047019</v>
      </c>
      <c r="W47" s="10"/>
      <c r="X47" s="5"/>
      <c r="Y47" s="2">
        <f t="shared" si="6"/>
        <v>30.249697114363443</v>
      </c>
      <c r="Z47" s="10">
        <f t="shared" si="4"/>
        <v>30.689728490452548</v>
      </c>
    </row>
    <row r="48" spans="1:26" x14ac:dyDescent="0.3">
      <c r="A48" s="2">
        <v>1944</v>
      </c>
      <c r="B48">
        <v>853.09657526016201</v>
      </c>
      <c r="C48">
        <v>807.73790407180798</v>
      </c>
      <c r="D48">
        <v>764.69089603424095</v>
      </c>
      <c r="E48">
        <v>775.21139430999801</v>
      </c>
      <c r="F48">
        <v>925.70658275171002</v>
      </c>
      <c r="G48">
        <v>1033.6267720907899</v>
      </c>
      <c r="H48">
        <v>1253.5543276369599</v>
      </c>
      <c r="I48">
        <v>552.22504520416305</v>
      </c>
      <c r="J48">
        <v>614.55253124237095</v>
      </c>
      <c r="K48">
        <v>635.13511228561401</v>
      </c>
      <c r="L48">
        <v>878.41776466369595</v>
      </c>
      <c r="M48">
        <v>828.95053184032395</v>
      </c>
      <c r="N48">
        <v>816.68090534210205</v>
      </c>
      <c r="O48">
        <v>929.63500872254394</v>
      </c>
      <c r="P48">
        <v>718.97216749191296</v>
      </c>
      <c r="Q48">
        <v>551.32903881990603</v>
      </c>
      <c r="S48" s="5">
        <f t="shared" si="2"/>
        <v>808.72015986051883</v>
      </c>
      <c r="T48" s="5">
        <f t="shared" si="5"/>
        <v>746.43623668104874</v>
      </c>
      <c r="U48" s="5"/>
      <c r="V48" s="7">
        <v>820.92367495849703</v>
      </c>
      <c r="W48" s="10"/>
      <c r="X48" s="5"/>
      <c r="Y48" s="2">
        <f t="shared" si="6"/>
        <v>29.409587725233319</v>
      </c>
      <c r="Z48" s="10">
        <f t="shared" si="4"/>
        <v>32.344392793364783</v>
      </c>
    </row>
    <row r="49" spans="1:26" x14ac:dyDescent="0.3">
      <c r="A49" s="2">
        <v>1945</v>
      </c>
      <c r="B49">
        <v>812.79461669921898</v>
      </c>
      <c r="C49">
        <v>765.47670078277599</v>
      </c>
      <c r="D49">
        <v>744.00874710082996</v>
      </c>
      <c r="E49">
        <v>768.24270439147995</v>
      </c>
      <c r="F49">
        <v>911.91324138641403</v>
      </c>
      <c r="G49">
        <v>1063.25083637238</v>
      </c>
      <c r="H49">
        <v>1306.93274116516</v>
      </c>
      <c r="I49">
        <v>657.44078254699696</v>
      </c>
      <c r="J49">
        <v>861.33190250396694</v>
      </c>
      <c r="K49">
        <v>782.28722286224399</v>
      </c>
      <c r="L49">
        <v>1041.6550674438499</v>
      </c>
      <c r="M49">
        <v>902.32252502441395</v>
      </c>
      <c r="N49">
        <v>953.944724082947</v>
      </c>
      <c r="O49">
        <v>990.50757980346702</v>
      </c>
      <c r="P49">
        <v>827.81890201568604</v>
      </c>
      <c r="Q49">
        <v>590.98720550537098</v>
      </c>
      <c r="S49" s="5">
        <f t="shared" si="2"/>
        <v>873.80721873045013</v>
      </c>
      <c r="T49" s="5">
        <f t="shared" si="5"/>
        <v>851.95360943192497</v>
      </c>
      <c r="U49" s="5"/>
      <c r="V49" s="7">
        <v>844.65062930174099</v>
      </c>
      <c r="W49" s="10"/>
      <c r="X49" s="5"/>
      <c r="Y49" s="2">
        <f t="shared" si="6"/>
        <v>33.566972211617845</v>
      </c>
      <c r="Z49" s="10">
        <f t="shared" si="4"/>
        <v>33.279234794488595</v>
      </c>
    </row>
    <row r="50" spans="1:26" x14ac:dyDescent="0.3">
      <c r="A50" s="2">
        <v>1946</v>
      </c>
      <c r="B50">
        <v>754.10933303832996</v>
      </c>
      <c r="C50">
        <v>704.66795468330395</v>
      </c>
      <c r="D50">
        <v>679.91794705390896</v>
      </c>
      <c r="E50">
        <v>700.23966455459595</v>
      </c>
      <c r="F50">
        <v>838.81470060348499</v>
      </c>
      <c r="G50">
        <v>953.50477981567406</v>
      </c>
      <c r="H50">
        <v>1223.3915123939501</v>
      </c>
      <c r="I50">
        <v>546.95861339569103</v>
      </c>
      <c r="J50">
        <v>658.21063423156704</v>
      </c>
      <c r="K50">
        <v>669.49549102783203</v>
      </c>
      <c r="L50">
        <v>914.22337532043503</v>
      </c>
      <c r="M50">
        <v>730.81711483001698</v>
      </c>
      <c r="N50">
        <v>804.00302505493198</v>
      </c>
      <c r="O50">
        <v>830.38911533355702</v>
      </c>
      <c r="P50">
        <v>696.94207954406704</v>
      </c>
      <c r="Q50">
        <v>474.92802214622498</v>
      </c>
      <c r="S50" s="5">
        <f t="shared" si="2"/>
        <v>761.28833518922318</v>
      </c>
      <c r="T50" s="5">
        <f t="shared" si="5"/>
        <v>718.23490983646911</v>
      </c>
      <c r="U50" s="5"/>
      <c r="V50" s="7">
        <v>751.13704116247402</v>
      </c>
      <c r="W50" s="10"/>
      <c r="X50" s="5"/>
      <c r="Y50" s="2">
        <f t="shared" si="6"/>
        <v>28.298455447556883</v>
      </c>
      <c r="Z50" s="10">
        <f t="shared" si="4"/>
        <v>29.594799421801476</v>
      </c>
    </row>
    <row r="51" spans="1:26" x14ac:dyDescent="0.3">
      <c r="A51" s="2">
        <v>1947</v>
      </c>
      <c r="B51">
        <v>940.54643344879196</v>
      </c>
      <c r="C51">
        <v>901.36054801940895</v>
      </c>
      <c r="D51">
        <v>870.04816579818703</v>
      </c>
      <c r="E51">
        <v>889.06040573120094</v>
      </c>
      <c r="F51">
        <v>1029.3155217170699</v>
      </c>
      <c r="G51">
        <v>1171.2264175415</v>
      </c>
      <c r="H51">
        <v>1436.4696674346901</v>
      </c>
      <c r="I51">
        <v>698.54132843017601</v>
      </c>
      <c r="J51">
        <v>782.19386482238804</v>
      </c>
      <c r="K51">
        <v>826.17407894134499</v>
      </c>
      <c r="L51">
        <v>1058.11494016647</v>
      </c>
      <c r="M51">
        <v>969.81574630737305</v>
      </c>
      <c r="N51">
        <v>988.71296691894497</v>
      </c>
      <c r="O51">
        <v>1050.49916648865</v>
      </c>
      <c r="P51">
        <v>881.39936971664395</v>
      </c>
      <c r="Q51">
        <v>663.41656494140602</v>
      </c>
      <c r="S51" s="5">
        <f t="shared" si="2"/>
        <v>947.30594915151539</v>
      </c>
      <c r="T51" s="5">
        <f t="shared" si="5"/>
        <v>897.7775019708381</v>
      </c>
      <c r="U51" s="5"/>
      <c r="V51" s="7">
        <v>944.15201338214001</v>
      </c>
      <c r="W51" s="10"/>
      <c r="X51" s="5"/>
      <c r="Y51" s="2">
        <f t="shared" si="6"/>
        <v>35.372433577651016</v>
      </c>
      <c r="Z51" s="10">
        <f t="shared" si="4"/>
        <v>37.199589327256312</v>
      </c>
    </row>
    <row r="52" spans="1:26" x14ac:dyDescent="0.3">
      <c r="A52" s="2">
        <v>1948</v>
      </c>
      <c r="B52">
        <v>828.91120243072498</v>
      </c>
      <c r="C52">
        <v>774.48075485229504</v>
      </c>
      <c r="D52">
        <v>734.44669914245605</v>
      </c>
      <c r="E52">
        <v>746.86701583862305</v>
      </c>
      <c r="F52">
        <v>897.841709136963</v>
      </c>
      <c r="G52">
        <v>1042.3910112381</v>
      </c>
      <c r="H52">
        <v>1316.8649930954</v>
      </c>
      <c r="I52">
        <v>559.808080673218</v>
      </c>
      <c r="J52">
        <v>730.53892230987503</v>
      </c>
      <c r="K52">
        <v>699.00866603851296</v>
      </c>
      <c r="L52">
        <v>989.26119422912598</v>
      </c>
      <c r="M52">
        <v>774.58893775939896</v>
      </c>
      <c r="N52">
        <v>888.49604606628395</v>
      </c>
      <c r="O52">
        <v>867.09466457366898</v>
      </c>
      <c r="P52">
        <v>755.68307733535801</v>
      </c>
      <c r="Q52">
        <v>498.508313179016</v>
      </c>
      <c r="S52" s="5">
        <f t="shared" si="2"/>
        <v>819.04945549368881</v>
      </c>
      <c r="T52" s="5">
        <f t="shared" si="5"/>
        <v>767.68828452702382</v>
      </c>
      <c r="U52" s="5"/>
      <c r="V52" s="7">
        <v>805.105632052376</v>
      </c>
      <c r="W52" s="10"/>
      <c r="X52" s="5"/>
      <c r="Y52" s="2">
        <f t="shared" si="6"/>
        <v>30.246918410364735</v>
      </c>
      <c r="Z52" s="10">
        <f t="shared" si="4"/>
        <v>31.721161902863614</v>
      </c>
    </row>
    <row r="53" spans="1:26" x14ac:dyDescent="0.3">
      <c r="A53" s="2">
        <v>1949</v>
      </c>
      <c r="B53">
        <v>923.96887016296398</v>
      </c>
      <c r="C53">
        <v>854.14806270599399</v>
      </c>
      <c r="D53">
        <v>803.09555435180698</v>
      </c>
      <c r="E53">
        <v>816.480006217957</v>
      </c>
      <c r="F53">
        <v>965.21471786499001</v>
      </c>
      <c r="G53">
        <v>1090.44250297546</v>
      </c>
      <c r="H53">
        <v>1395.5792388916</v>
      </c>
      <c r="I53">
        <v>653.379356384277</v>
      </c>
      <c r="J53">
        <v>803.74305438995395</v>
      </c>
      <c r="K53">
        <v>814.34631824493397</v>
      </c>
      <c r="L53">
        <v>1114.2635784149199</v>
      </c>
      <c r="M53">
        <v>880.32795143127396</v>
      </c>
      <c r="N53">
        <v>993.64264488220203</v>
      </c>
      <c r="O53">
        <v>1005.19881439209</v>
      </c>
      <c r="P53">
        <v>858.94429683685303</v>
      </c>
      <c r="Q53">
        <v>572.25962448120094</v>
      </c>
      <c r="S53" s="5">
        <f t="shared" si="2"/>
        <v>909.06466203927994</v>
      </c>
      <c r="T53" s="5">
        <f t="shared" si="5"/>
        <v>867.59072554638453</v>
      </c>
      <c r="U53" s="5"/>
      <c r="V53" s="7">
        <v>891.46626611835302</v>
      </c>
      <c r="W53" s="10"/>
      <c r="X53" s="5"/>
      <c r="Y53" s="2">
        <f t="shared" si="6"/>
        <v>34.183074586527546</v>
      </c>
      <c r="Z53" s="10">
        <f t="shared" si="4"/>
        <v>35.123770885063109</v>
      </c>
    </row>
    <row r="54" spans="1:26" x14ac:dyDescent="0.3">
      <c r="A54" s="2">
        <v>1950</v>
      </c>
      <c r="B54">
        <v>871.94884371757496</v>
      </c>
      <c r="C54">
        <v>816.08185338973999</v>
      </c>
      <c r="D54">
        <v>783.08934497833297</v>
      </c>
      <c r="E54">
        <v>813.95957803726196</v>
      </c>
      <c r="F54">
        <v>982.79320716857899</v>
      </c>
      <c r="G54">
        <v>1159.1438136100801</v>
      </c>
      <c r="H54">
        <v>1482.67454433441</v>
      </c>
      <c r="I54">
        <v>641.70100355148304</v>
      </c>
      <c r="J54">
        <v>875.51776313781704</v>
      </c>
      <c r="K54">
        <v>783.37996053695701</v>
      </c>
      <c r="L54">
        <v>1022.82867956161</v>
      </c>
      <c r="M54">
        <v>841.16447353363003</v>
      </c>
      <c r="N54">
        <v>923.780472517014</v>
      </c>
      <c r="O54">
        <v>964.13235855102505</v>
      </c>
      <c r="P54">
        <v>795.33289098739601</v>
      </c>
      <c r="Q54">
        <v>543.52671647071804</v>
      </c>
      <c r="S54" s="5">
        <f t="shared" si="2"/>
        <v>893.81596900522686</v>
      </c>
      <c r="T54" s="5">
        <f t="shared" si="5"/>
        <v>840.16501334277405</v>
      </c>
      <c r="U54" s="5"/>
      <c r="V54" s="7">
        <v>883.68373607773697</v>
      </c>
      <c r="W54" s="10"/>
      <c r="X54" s="5"/>
      <c r="Y54" s="2">
        <f t="shared" si="6"/>
        <v>33.102501525705293</v>
      </c>
      <c r="Z54" s="10">
        <f t="shared" si="4"/>
        <v>34.817139201462837</v>
      </c>
    </row>
    <row r="55" spans="1:26" x14ac:dyDescent="0.3">
      <c r="A55" s="2">
        <v>1951</v>
      </c>
      <c r="B55">
        <v>845.30198812484696</v>
      </c>
      <c r="C55">
        <v>787.948802471161</v>
      </c>
      <c r="D55">
        <v>762.745884418488</v>
      </c>
      <c r="E55">
        <v>787.200230121613</v>
      </c>
      <c r="F55">
        <v>938.11192750930798</v>
      </c>
      <c r="G55">
        <v>1102.73354148865</v>
      </c>
      <c r="H55">
        <v>1415.8759427070599</v>
      </c>
      <c r="I55">
        <v>635.93566989898704</v>
      </c>
      <c r="J55">
        <v>868.67514991760299</v>
      </c>
      <c r="K55">
        <v>792.73421955108597</v>
      </c>
      <c r="L55">
        <v>1082.9822511673001</v>
      </c>
      <c r="M55">
        <v>861.82498073577904</v>
      </c>
      <c r="N55">
        <v>972.10235309600796</v>
      </c>
      <c r="O55">
        <v>959.09624004364002</v>
      </c>
      <c r="P55">
        <v>846.38452482223499</v>
      </c>
      <c r="Q55">
        <v>553.17505359649704</v>
      </c>
      <c r="S55" s="5">
        <f t="shared" si="2"/>
        <v>888.30179747939133</v>
      </c>
      <c r="T55" s="5">
        <f t="shared" si="5"/>
        <v>852.7935918474825</v>
      </c>
      <c r="U55" s="5"/>
      <c r="V55" s="7">
        <v>863.77529722480301</v>
      </c>
      <c r="W55" s="10"/>
      <c r="X55" s="5"/>
      <c r="Y55" s="2">
        <f t="shared" si="6"/>
        <v>33.600067518790809</v>
      </c>
      <c r="Z55" s="10">
        <f t="shared" si="4"/>
        <v>34.032746710657236</v>
      </c>
    </row>
    <row r="56" spans="1:26" x14ac:dyDescent="0.3">
      <c r="A56" s="2">
        <v>1952</v>
      </c>
      <c r="B56">
        <v>1087.85841751099</v>
      </c>
      <c r="C56">
        <v>1005.64957141876</v>
      </c>
      <c r="D56">
        <v>950.51930809020996</v>
      </c>
      <c r="E56">
        <v>965.31109333038296</v>
      </c>
      <c r="F56">
        <v>1142.4861292839</v>
      </c>
      <c r="G56">
        <v>1332.19111871719</v>
      </c>
      <c r="H56">
        <v>1663.9178609848</v>
      </c>
      <c r="I56">
        <v>722.41771411895797</v>
      </c>
      <c r="J56">
        <v>802.67583274841297</v>
      </c>
      <c r="K56">
        <v>912.43371820449795</v>
      </c>
      <c r="L56">
        <v>1215.5466532707201</v>
      </c>
      <c r="M56">
        <v>1082.5811176300001</v>
      </c>
      <c r="N56">
        <v>1155.97570705414</v>
      </c>
      <c r="O56">
        <v>1203.16993904114</v>
      </c>
      <c r="P56">
        <v>995.03880214691196</v>
      </c>
      <c r="Q56">
        <v>674.43381404876698</v>
      </c>
      <c r="S56" s="5">
        <f t="shared" si="2"/>
        <v>1057.0129248499861</v>
      </c>
      <c r="T56" s="5">
        <f t="shared" si="5"/>
        <v>993.34989366880109</v>
      </c>
      <c r="U56" s="5"/>
      <c r="V56" s="7">
        <v>1056.5895275502601</v>
      </c>
      <c r="W56" s="10"/>
      <c r="X56" s="5"/>
      <c r="Y56" s="2">
        <f t="shared" si="6"/>
        <v>39.137985810550759</v>
      </c>
      <c r="Z56" s="10">
        <f t="shared" si="4"/>
        <v>41.629627385480241</v>
      </c>
    </row>
    <row r="57" spans="1:26" x14ac:dyDescent="0.3">
      <c r="A57" s="2">
        <v>1953</v>
      </c>
      <c r="B57">
        <v>845.85017251968395</v>
      </c>
      <c r="C57">
        <v>780.76484775543202</v>
      </c>
      <c r="D57">
        <v>723.340197086334</v>
      </c>
      <c r="E57">
        <v>717.37559413909901</v>
      </c>
      <c r="F57">
        <v>847.414747714996</v>
      </c>
      <c r="G57">
        <v>951.53618049621605</v>
      </c>
      <c r="H57">
        <v>1204.14362287521</v>
      </c>
      <c r="I57">
        <v>562.91297388076805</v>
      </c>
      <c r="J57">
        <v>652.34866142272995</v>
      </c>
      <c r="K57">
        <v>735.95827007293701</v>
      </c>
      <c r="L57">
        <v>973.93511891364994</v>
      </c>
      <c r="M57">
        <v>806.91408348083496</v>
      </c>
      <c r="N57">
        <v>877.65237760543801</v>
      </c>
      <c r="O57">
        <v>909.00462722778298</v>
      </c>
      <c r="P57">
        <v>749.29387092590298</v>
      </c>
      <c r="Q57">
        <v>484.57154703140299</v>
      </c>
      <c r="S57" s="5">
        <f t="shared" si="2"/>
        <v>801.43855582177616</v>
      </c>
      <c r="T57" s="5">
        <f t="shared" si="5"/>
        <v>762.37547834154634</v>
      </c>
      <c r="U57" s="5"/>
      <c r="V57" s="7">
        <v>783.51077192329103</v>
      </c>
      <c r="W57" s="10"/>
      <c r="X57" s="5"/>
      <c r="Y57" s="2">
        <f t="shared" si="6"/>
        <v>30.037593846656925</v>
      </c>
      <c r="Z57" s="10">
        <f t="shared" si="4"/>
        <v>30.870324413777666</v>
      </c>
    </row>
    <row r="58" spans="1:26" x14ac:dyDescent="0.3">
      <c r="A58" s="2">
        <v>1954</v>
      </c>
      <c r="B58">
        <v>707.63724327087402</v>
      </c>
      <c r="C58">
        <v>658.99318504333496</v>
      </c>
      <c r="D58">
        <v>631.41753196716297</v>
      </c>
      <c r="E58">
        <v>647.04955482482899</v>
      </c>
      <c r="F58">
        <v>789.955284118652</v>
      </c>
      <c r="G58">
        <v>920.25581932067905</v>
      </c>
      <c r="H58">
        <v>1163.6899051666301</v>
      </c>
      <c r="I58">
        <v>464.23723793029802</v>
      </c>
      <c r="J58">
        <v>684.72137451171898</v>
      </c>
      <c r="K58">
        <v>567.03346633911099</v>
      </c>
      <c r="L58">
        <v>770.10708427429199</v>
      </c>
      <c r="M58">
        <v>700.50136947631802</v>
      </c>
      <c r="N58">
        <v>712.733373641968</v>
      </c>
      <c r="O58">
        <v>766.59758949279797</v>
      </c>
      <c r="P58">
        <v>613.08697891235397</v>
      </c>
      <c r="Q58">
        <v>428.57503128051798</v>
      </c>
      <c r="S58" s="5">
        <f t="shared" si="2"/>
        <v>701.66200184822105</v>
      </c>
      <c r="T58" s="5">
        <f t="shared" si="5"/>
        <v>651.67196507860353</v>
      </c>
      <c r="U58" s="5"/>
      <c r="V58" s="7">
        <v>697.750777816697</v>
      </c>
      <c r="W58" s="10"/>
      <c r="X58" s="5"/>
      <c r="Y58" s="2">
        <f t="shared" si="6"/>
        <v>25.675875424096979</v>
      </c>
      <c r="Z58" s="10">
        <f t="shared" si="4"/>
        <v>27.491380645977859</v>
      </c>
    </row>
    <row r="59" spans="1:26" x14ac:dyDescent="0.3">
      <c r="A59" s="2">
        <v>1955</v>
      </c>
      <c r="B59">
        <v>861.53875160217297</v>
      </c>
      <c r="C59">
        <v>785.869541168213</v>
      </c>
      <c r="D59">
        <v>720.41554069518997</v>
      </c>
      <c r="E59">
        <v>734.41489601135299</v>
      </c>
      <c r="F59">
        <v>931.41483688354504</v>
      </c>
      <c r="G59">
        <v>1136.4612197875999</v>
      </c>
      <c r="H59">
        <v>1457.3589324951199</v>
      </c>
      <c r="I59">
        <v>582.15719985961903</v>
      </c>
      <c r="J59">
        <v>728.88037490844704</v>
      </c>
      <c r="K59">
        <v>748.30823516845703</v>
      </c>
      <c r="L59">
        <v>1017.43520355225</v>
      </c>
      <c r="M59">
        <v>862.43411254882801</v>
      </c>
      <c r="N59">
        <v>947.58088493347202</v>
      </c>
      <c r="O59">
        <v>975.38276481628395</v>
      </c>
      <c r="P59">
        <v>791.74829292297397</v>
      </c>
      <c r="Q59">
        <v>507.97941780090298</v>
      </c>
      <c r="S59" s="5">
        <f t="shared" si="2"/>
        <v>861.83626282215175</v>
      </c>
      <c r="T59" s="5">
        <f t="shared" si="5"/>
        <v>811.24064258824342</v>
      </c>
      <c r="U59" s="5"/>
      <c r="V59" s="7">
        <v>846.64469666927698</v>
      </c>
      <c r="W59" s="10"/>
      <c r="X59" s="5"/>
      <c r="Y59" s="2">
        <f t="shared" si="6"/>
        <v>31.962881317976787</v>
      </c>
      <c r="Z59" s="10">
        <f t="shared" si="4"/>
        <v>33.35780104876951</v>
      </c>
    </row>
    <row r="60" spans="1:26" x14ac:dyDescent="0.3">
      <c r="A60" s="2">
        <v>1956</v>
      </c>
      <c r="B60">
        <v>849.04657721519504</v>
      </c>
      <c r="C60">
        <v>787.38779067993198</v>
      </c>
      <c r="D60">
        <v>745.20588684081997</v>
      </c>
      <c r="E60">
        <v>762.74166584014904</v>
      </c>
      <c r="F60">
        <v>930.21432209014904</v>
      </c>
      <c r="G60">
        <v>1102.2777919769301</v>
      </c>
      <c r="H60">
        <v>1417.73328304291</v>
      </c>
      <c r="I60">
        <v>570.42264842987095</v>
      </c>
      <c r="J60">
        <v>822.90768766403198</v>
      </c>
      <c r="K60">
        <v>710.00032615661598</v>
      </c>
      <c r="L60">
        <v>1005.00277233124</v>
      </c>
      <c r="M60">
        <v>785.90789031982399</v>
      </c>
      <c r="N60">
        <v>956.88066005706798</v>
      </c>
      <c r="O60">
        <v>911.25816440582298</v>
      </c>
      <c r="P60">
        <v>790.62385654449497</v>
      </c>
      <c r="Q60">
        <v>476.40137243270902</v>
      </c>
      <c r="S60" s="5">
        <f t="shared" si="2"/>
        <v>851.50079350173507</v>
      </c>
      <c r="T60" s="5">
        <f t="shared" si="5"/>
        <v>793.13938931657901</v>
      </c>
      <c r="U60" s="5"/>
      <c r="V60" s="7">
        <v>834.57668901886802</v>
      </c>
      <c r="W60" s="10"/>
      <c r="X60" s="5"/>
      <c r="Y60" s="2">
        <f t="shared" si="6"/>
        <v>31.249691939073212</v>
      </c>
      <c r="Z60" s="10">
        <f t="shared" si="4"/>
        <v>32.882321547343395</v>
      </c>
    </row>
    <row r="61" spans="1:26" x14ac:dyDescent="0.3">
      <c r="A61" s="2">
        <v>1957</v>
      </c>
      <c r="B61">
        <v>989.84919071197498</v>
      </c>
      <c r="C61">
        <v>929.19534873962402</v>
      </c>
      <c r="D61">
        <v>886.23337841033901</v>
      </c>
      <c r="E61">
        <v>895.37907123565697</v>
      </c>
      <c r="F61">
        <v>1047.2258987426801</v>
      </c>
      <c r="G61">
        <v>1158.1058177948</v>
      </c>
      <c r="H61">
        <v>1439.4354524612399</v>
      </c>
      <c r="I61">
        <v>643.15395545959495</v>
      </c>
      <c r="J61">
        <v>785.51401138305698</v>
      </c>
      <c r="K61">
        <v>778.42068862915005</v>
      </c>
      <c r="L61">
        <v>1024.9058971405</v>
      </c>
      <c r="M61">
        <v>959.09764480590798</v>
      </c>
      <c r="N61">
        <v>990.832224845886</v>
      </c>
      <c r="O61">
        <v>1074.36461639404</v>
      </c>
      <c r="P61">
        <v>858.13648128509499</v>
      </c>
      <c r="Q61">
        <v>618.11792564392101</v>
      </c>
      <c r="S61" s="5">
        <f t="shared" si="2"/>
        <v>942.37297523021664</v>
      </c>
      <c r="T61" s="5">
        <f t="shared" si="5"/>
        <v>878.16941675832186</v>
      </c>
      <c r="U61" s="5"/>
      <c r="V61" s="7">
        <v>945.84524113499003</v>
      </c>
      <c r="W61" s="10"/>
      <c r="X61" s="5"/>
      <c r="Y61" s="2">
        <f t="shared" si="6"/>
        <v>34.599875020277878</v>
      </c>
      <c r="Z61" s="10">
        <f t="shared" si="4"/>
        <v>37.266302500718602</v>
      </c>
    </row>
    <row r="62" spans="1:26" x14ac:dyDescent="0.3">
      <c r="A62" s="2">
        <v>1958</v>
      </c>
      <c r="B62">
        <v>879.89517867565201</v>
      </c>
      <c r="C62">
        <v>817.960474014282</v>
      </c>
      <c r="D62">
        <v>759.93789684772503</v>
      </c>
      <c r="E62">
        <v>765.52360665798199</v>
      </c>
      <c r="F62">
        <v>937.74628710746799</v>
      </c>
      <c r="G62">
        <v>1099.9469839334499</v>
      </c>
      <c r="H62">
        <v>1410.87876427174</v>
      </c>
      <c r="I62">
        <v>563.11348533630405</v>
      </c>
      <c r="J62">
        <v>703.90985679626499</v>
      </c>
      <c r="K62">
        <v>715.45459556579601</v>
      </c>
      <c r="L62">
        <v>946.60872173309303</v>
      </c>
      <c r="M62">
        <v>818.14964866638195</v>
      </c>
      <c r="N62">
        <v>976.20488262176502</v>
      </c>
      <c r="O62">
        <v>943.24616074562095</v>
      </c>
      <c r="P62">
        <v>819.74260425567604</v>
      </c>
      <c r="Q62">
        <v>474.57449626922602</v>
      </c>
      <c r="S62" s="5">
        <f t="shared" si="2"/>
        <v>852.05585271865164</v>
      </c>
      <c r="T62" s="5">
        <f t="shared" si="5"/>
        <v>784.57460387217998</v>
      </c>
      <c r="U62" s="5"/>
      <c r="V62" s="7">
        <v>847.01376411689296</v>
      </c>
      <c r="W62" s="10"/>
      <c r="X62" s="5"/>
      <c r="Y62" s="2">
        <f t="shared" si="6"/>
        <v>30.91223939256389</v>
      </c>
      <c r="Z62" s="10">
        <f t="shared" si="4"/>
        <v>33.372342306205582</v>
      </c>
    </row>
    <row r="63" spans="1:26" x14ac:dyDescent="0.3">
      <c r="A63" s="2">
        <v>1959</v>
      </c>
      <c r="B63">
        <v>819.96239519119297</v>
      </c>
      <c r="C63">
        <v>770.94641876220703</v>
      </c>
      <c r="D63">
        <v>733.965344429016</v>
      </c>
      <c r="E63">
        <v>744.05611658096302</v>
      </c>
      <c r="F63">
        <v>886.33334255218494</v>
      </c>
      <c r="G63">
        <v>1025.5853018760699</v>
      </c>
      <c r="H63">
        <v>1294.07767724991</v>
      </c>
      <c r="I63">
        <v>588.841466546059</v>
      </c>
      <c r="J63">
        <v>724.63198852539097</v>
      </c>
      <c r="K63">
        <v>702.44758123159397</v>
      </c>
      <c r="L63">
        <v>874.32484412193298</v>
      </c>
      <c r="M63">
        <v>802.64422082901001</v>
      </c>
      <c r="N63">
        <v>845.56542193889595</v>
      </c>
      <c r="O63">
        <v>885.22299480438198</v>
      </c>
      <c r="P63">
        <v>737.75599575042702</v>
      </c>
      <c r="Q63">
        <v>521.19428205490101</v>
      </c>
      <c r="S63" s="5">
        <f t="shared" si="2"/>
        <v>809.84721202775859</v>
      </c>
      <c r="T63" s="5">
        <f t="shared" si="5"/>
        <v>757.56136805348274</v>
      </c>
      <c r="U63" s="5"/>
      <c r="V63" s="7">
        <v>805.22202694494297</v>
      </c>
      <c r="W63" s="10"/>
      <c r="X63" s="5"/>
      <c r="Y63" s="2">
        <f t="shared" si="6"/>
        <v>29.84791790130722</v>
      </c>
      <c r="Z63" s="10">
        <f t="shared" si="4"/>
        <v>31.725747861630751</v>
      </c>
    </row>
    <row r="64" spans="1:26" x14ac:dyDescent="0.3">
      <c r="A64" s="2">
        <v>1960</v>
      </c>
      <c r="B64">
        <v>645.391210079193</v>
      </c>
      <c r="C64">
        <v>591.87215852737404</v>
      </c>
      <c r="D64">
        <v>555.37709760665905</v>
      </c>
      <c r="E64">
        <v>569.23072481155396</v>
      </c>
      <c r="F64">
        <v>699.24901151657104</v>
      </c>
      <c r="G64">
        <v>829.80419445037796</v>
      </c>
      <c r="H64">
        <v>1049.17286586761</v>
      </c>
      <c r="I64">
        <v>387.86284399032598</v>
      </c>
      <c r="J64">
        <v>581.80617380142201</v>
      </c>
      <c r="K64">
        <v>472.97701215744002</v>
      </c>
      <c r="L64">
        <v>686.89356184005703</v>
      </c>
      <c r="M64">
        <v>620.18841457366898</v>
      </c>
      <c r="N64">
        <v>686.64995336532604</v>
      </c>
      <c r="O64">
        <v>703.46765995025601</v>
      </c>
      <c r="P64">
        <v>575.72135543823197</v>
      </c>
      <c r="Q64">
        <v>363.51775550842302</v>
      </c>
      <c r="S64" s="5">
        <f t="shared" si="2"/>
        <v>626.19887459278073</v>
      </c>
      <c r="T64" s="5">
        <f t="shared" si="5"/>
        <v>575.59721295160909</v>
      </c>
      <c r="U64" s="5"/>
      <c r="V64" s="7">
        <v>626.69291302463</v>
      </c>
      <c r="W64" s="10"/>
      <c r="X64" s="5"/>
      <c r="Y64" s="2">
        <f t="shared" si="6"/>
        <v>22.678530190293397</v>
      </c>
      <c r="Z64" s="10">
        <f t="shared" si="4"/>
        <v>24.691700773170421</v>
      </c>
    </row>
    <row r="65" spans="1:26" x14ac:dyDescent="0.3">
      <c r="A65" s="2">
        <v>1961</v>
      </c>
      <c r="B65">
        <v>642.297317028046</v>
      </c>
      <c r="C65">
        <v>604.92718172073398</v>
      </c>
      <c r="D65">
        <v>567.35634994506802</v>
      </c>
      <c r="E65">
        <v>578.44735765457199</v>
      </c>
      <c r="F65">
        <v>689.50413370132401</v>
      </c>
      <c r="G65">
        <v>817.68494197726204</v>
      </c>
      <c r="H65">
        <v>1026.1958899870499</v>
      </c>
      <c r="I65">
        <v>490.49119186401401</v>
      </c>
      <c r="J65">
        <v>660.781056404114</v>
      </c>
      <c r="K65">
        <v>582.37270851060703</v>
      </c>
      <c r="L65">
        <v>779.45490694045998</v>
      </c>
      <c r="M65">
        <v>694.22755241393997</v>
      </c>
      <c r="N65">
        <v>694.270726203918</v>
      </c>
      <c r="O65">
        <v>745.00386047363304</v>
      </c>
      <c r="P65">
        <v>611.32909965515103</v>
      </c>
      <c r="Q65">
        <v>443.455282211304</v>
      </c>
      <c r="S65" s="5">
        <f t="shared" si="2"/>
        <v>664.23747229319986</v>
      </c>
      <c r="T65" s="5">
        <f t="shared" si="5"/>
        <v>641.99449213848891</v>
      </c>
      <c r="U65" s="5"/>
      <c r="V65" s="7">
        <v>645.42596648238805</v>
      </c>
      <c r="W65" s="10"/>
      <c r="X65" s="5"/>
      <c r="Y65" s="2">
        <f t="shared" si="6"/>
        <v>25.294582990256462</v>
      </c>
      <c r="Z65" s="10">
        <f t="shared" si="4"/>
        <v>25.429783079406089</v>
      </c>
    </row>
    <row r="66" spans="1:26" x14ac:dyDescent="0.3">
      <c r="A66" s="2">
        <v>1962</v>
      </c>
      <c r="B66">
        <v>938.94646692276001</v>
      </c>
      <c r="C66">
        <v>871.76254844665505</v>
      </c>
      <c r="D66">
        <v>813.694794893265</v>
      </c>
      <c r="E66">
        <v>821.38598299026501</v>
      </c>
      <c r="F66">
        <v>986.05004596710205</v>
      </c>
      <c r="G66">
        <v>1135.7604246139499</v>
      </c>
      <c r="H66">
        <v>1451.2734899520899</v>
      </c>
      <c r="I66">
        <v>636.65944671630905</v>
      </c>
      <c r="J66">
        <v>789.93844223022495</v>
      </c>
      <c r="K66">
        <v>776.35552406311001</v>
      </c>
      <c r="L66">
        <v>1087.05763530731</v>
      </c>
      <c r="M66">
        <v>905.20923233032204</v>
      </c>
      <c r="N66">
        <v>1018.64989948273</v>
      </c>
      <c r="O66">
        <v>1020.77941799164</v>
      </c>
      <c r="P66">
        <v>863.859571933746</v>
      </c>
      <c r="Q66">
        <v>567.02108430862404</v>
      </c>
      <c r="S66" s="5">
        <f t="shared" si="2"/>
        <v>917.77525050938152</v>
      </c>
      <c r="T66" s="5">
        <f t="shared" si="5"/>
        <v>863.96650847061835</v>
      </c>
      <c r="U66" s="5"/>
      <c r="V66" s="7">
        <v>905.91793153113395</v>
      </c>
      <c r="W66" s="10"/>
      <c r="X66" s="5"/>
      <c r="Y66" s="2">
        <f t="shared" si="6"/>
        <v>34.04028043374236</v>
      </c>
      <c r="Z66" s="10">
        <f t="shared" si="4"/>
        <v>35.693166502326676</v>
      </c>
    </row>
    <row r="67" spans="1:26" x14ac:dyDescent="0.3">
      <c r="A67" s="2">
        <v>1963</v>
      </c>
      <c r="B67">
        <v>772.87732243537903</v>
      </c>
      <c r="C67">
        <v>729.88095378875698</v>
      </c>
      <c r="D67">
        <v>707.81249165534996</v>
      </c>
      <c r="E67">
        <v>728.49766993522599</v>
      </c>
      <c r="F67">
        <v>860.29287815094006</v>
      </c>
      <c r="G67">
        <v>962.06918668747005</v>
      </c>
      <c r="H67">
        <v>1190.31826019287</v>
      </c>
      <c r="I67">
        <v>556.29762697219803</v>
      </c>
      <c r="J67">
        <v>764.98543977737404</v>
      </c>
      <c r="K67">
        <v>656.24706995487202</v>
      </c>
      <c r="L67">
        <v>822.00936317443802</v>
      </c>
      <c r="M67">
        <v>868.02947902679398</v>
      </c>
      <c r="N67">
        <v>793.43890833854698</v>
      </c>
      <c r="O67">
        <v>894.62376022338901</v>
      </c>
      <c r="P67">
        <v>724.04880142211903</v>
      </c>
      <c r="Q67">
        <v>524.51698493957497</v>
      </c>
      <c r="S67" s="5">
        <f t="shared" si="2"/>
        <v>784.74663729220617</v>
      </c>
      <c r="T67" s="5">
        <f t="shared" si="5"/>
        <v>746.3326491463306</v>
      </c>
      <c r="U67" s="5"/>
      <c r="V67" s="7">
        <v>775.98762109436802</v>
      </c>
      <c r="W67" s="10"/>
      <c r="X67" s="5"/>
      <c r="Y67" s="2">
        <f t="shared" si="6"/>
        <v>29.405506376365423</v>
      </c>
      <c r="Z67" s="10">
        <f t="shared" si="4"/>
        <v>30.573912271118097</v>
      </c>
    </row>
    <row r="68" spans="1:26" x14ac:dyDescent="0.3">
      <c r="A68" s="2">
        <v>1964</v>
      </c>
      <c r="B68">
        <v>942.68455362320003</v>
      </c>
      <c r="C68">
        <v>889.85270452499401</v>
      </c>
      <c r="D68">
        <v>831.78833675384499</v>
      </c>
      <c r="E68">
        <v>819.75763273239102</v>
      </c>
      <c r="F68">
        <v>957.63224172592197</v>
      </c>
      <c r="G68">
        <v>1032.9880847930899</v>
      </c>
      <c r="H68">
        <v>1276.7190532684299</v>
      </c>
      <c r="I68">
        <v>580.037794589996</v>
      </c>
      <c r="J68">
        <v>810.995740413666</v>
      </c>
      <c r="K68">
        <v>685.70730876922596</v>
      </c>
      <c r="L68">
        <v>1000.39387512207</v>
      </c>
      <c r="M68">
        <v>907.11645698547397</v>
      </c>
      <c r="N68">
        <v>886.18144416809105</v>
      </c>
      <c r="O68">
        <v>984.718544006348</v>
      </c>
      <c r="P68">
        <v>785.399426460266</v>
      </c>
      <c r="Q68">
        <v>565.81438541412399</v>
      </c>
      <c r="S68" s="5">
        <f t="shared" si="2"/>
        <v>872.36172395944573</v>
      </c>
      <c r="T68" s="5">
        <f t="shared" si="5"/>
        <v>818.03458841222664</v>
      </c>
      <c r="U68" s="5"/>
      <c r="V68" s="7">
        <v>865.21001899910004</v>
      </c>
      <c r="W68" s="10"/>
      <c r="X68" s="5"/>
      <c r="Y68" s="2">
        <f t="shared" si="6"/>
        <v>32.230562783441727</v>
      </c>
      <c r="Z68" s="10">
        <f t="shared" si="4"/>
        <v>34.089274748564542</v>
      </c>
    </row>
    <row r="69" spans="1:26" x14ac:dyDescent="0.3">
      <c r="A69" s="2">
        <v>1965</v>
      </c>
      <c r="B69">
        <v>1163.5067749023401</v>
      </c>
      <c r="C69">
        <v>1103.0835533142099</v>
      </c>
      <c r="D69">
        <v>1050.7110271453901</v>
      </c>
      <c r="E69">
        <v>1060.23631477356</v>
      </c>
      <c r="F69">
        <v>1211.0497207641599</v>
      </c>
      <c r="G69">
        <v>1341.26219940186</v>
      </c>
      <c r="H69">
        <v>1682.5148010253899</v>
      </c>
      <c r="I69">
        <v>747.41283988952603</v>
      </c>
      <c r="J69">
        <v>997.17987060546898</v>
      </c>
      <c r="K69">
        <v>894.82664489746105</v>
      </c>
      <c r="L69">
        <v>1155.1083984375</v>
      </c>
      <c r="M69">
        <v>1006.31455230713</v>
      </c>
      <c r="N69">
        <v>1215.61228370667</v>
      </c>
      <c r="O69">
        <v>1166.26624107361</v>
      </c>
      <c r="P69">
        <v>1046.6707077026399</v>
      </c>
      <c r="Q69">
        <v>687.44118976592995</v>
      </c>
      <c r="S69" s="5">
        <f t="shared" si="2"/>
        <v>1095.574819982053</v>
      </c>
      <c r="T69" s="5">
        <f t="shared" ref="T69:T100" si="7">(B69*$B$3)+(C69*$C$3)+(D69*$D$3)+(E69*$E$3)+(F69*$F$3)+(G69*$G$3)+(H69*$H$3)+(I69*$I$3)+(J69*$J$3)+(K69*$K$3)+(L69*$L$3)+(M69*$M$3)+(N69*$N$3)+(O69*$O$3)+(P69*$P$3)+(Q69*$Q$3)</f>
        <v>1006.2192519928699</v>
      </c>
      <c r="U69" s="5"/>
      <c r="V69" s="7">
        <v>1100.76333094701</v>
      </c>
      <c r="W69" s="10"/>
      <c r="X69" s="5"/>
      <c r="Y69" s="2">
        <f t="shared" ref="Y69:Y100" si="8">T69*0.0394</f>
        <v>39.645038528519073</v>
      </c>
      <c r="Z69" s="10">
        <f t="shared" si="4"/>
        <v>43.370075239312193</v>
      </c>
    </row>
    <row r="70" spans="1:26" x14ac:dyDescent="0.3">
      <c r="A70" s="2">
        <v>1966</v>
      </c>
      <c r="B70">
        <v>663.015781402588</v>
      </c>
      <c r="C70">
        <v>623.58080387115501</v>
      </c>
      <c r="D70">
        <v>595.24531650543202</v>
      </c>
      <c r="E70">
        <v>611.30470657348599</v>
      </c>
      <c r="F70">
        <v>723.92678165435802</v>
      </c>
      <c r="G70">
        <v>828.45883560180698</v>
      </c>
      <c r="H70">
        <v>1078.6827878951999</v>
      </c>
      <c r="I70">
        <v>434.971654891968</v>
      </c>
      <c r="J70">
        <v>592.62591838836704</v>
      </c>
      <c r="K70">
        <v>512.81269884109497</v>
      </c>
      <c r="L70">
        <v>722.74710798263504</v>
      </c>
      <c r="M70">
        <v>667.56438159942604</v>
      </c>
      <c r="N70">
        <v>685.67495870590199</v>
      </c>
      <c r="O70">
        <v>744.35790252685501</v>
      </c>
      <c r="P70">
        <v>598.94434642791703</v>
      </c>
      <c r="Q70">
        <v>414.80559015274002</v>
      </c>
      <c r="S70" s="5">
        <f t="shared" ref="S70:S129" si="9">AVERAGE(B70:Q70)</f>
        <v>656.16997331380833</v>
      </c>
      <c r="T70" s="5">
        <f t="shared" si="7"/>
        <v>610.21691466424932</v>
      </c>
      <c r="U70" s="5"/>
      <c r="V70" s="7">
        <v>656.49658155114798</v>
      </c>
      <c r="W70" s="10"/>
      <c r="X70" s="5"/>
      <c r="Y70" s="2">
        <f t="shared" si="8"/>
        <v>24.042546437771421</v>
      </c>
      <c r="Z70" s="10">
        <f t="shared" ref="Z70:Z127" si="10">V70*0.0394</f>
        <v>25.865965313115229</v>
      </c>
    </row>
    <row r="71" spans="1:26" x14ac:dyDescent="0.3">
      <c r="A71" s="2">
        <v>1967</v>
      </c>
      <c r="B71">
        <v>900.72723388671898</v>
      </c>
      <c r="C71">
        <v>843.07310771942105</v>
      </c>
      <c r="D71">
        <v>794.89534473419201</v>
      </c>
      <c r="E71">
        <v>804.36754894256603</v>
      </c>
      <c r="F71">
        <v>968.52738285064697</v>
      </c>
      <c r="G71">
        <v>1135.1651172637901</v>
      </c>
      <c r="H71">
        <v>1399.60739898682</v>
      </c>
      <c r="I71">
        <v>644.286915779114</v>
      </c>
      <c r="J71">
        <v>872.52954864501999</v>
      </c>
      <c r="K71">
        <v>780.80236482620205</v>
      </c>
      <c r="L71">
        <v>1009.30334758759</v>
      </c>
      <c r="M71">
        <v>921.00617027282703</v>
      </c>
      <c r="N71">
        <v>944.41144084930397</v>
      </c>
      <c r="O71">
        <v>994.18364715576195</v>
      </c>
      <c r="P71">
        <v>834.73670768737804</v>
      </c>
      <c r="Q71">
        <v>594.90856742858898</v>
      </c>
      <c r="S71" s="5">
        <f t="shared" si="9"/>
        <v>902.65824028849624</v>
      </c>
      <c r="T71" s="5">
        <f t="shared" si="7"/>
        <v>858.71958571751907</v>
      </c>
      <c r="U71" s="5"/>
      <c r="V71" s="7">
        <v>889.31487468544196</v>
      </c>
      <c r="W71" s="10"/>
      <c r="X71" s="5"/>
      <c r="Y71" s="2">
        <f t="shared" si="8"/>
        <v>33.83355167727025</v>
      </c>
      <c r="Z71" s="10">
        <f t="shared" si="10"/>
        <v>35.039006062606411</v>
      </c>
    </row>
    <row r="72" spans="1:26" x14ac:dyDescent="0.3">
      <c r="A72" s="2">
        <v>1968</v>
      </c>
      <c r="B72">
        <v>1001.70258712769</v>
      </c>
      <c r="C72">
        <v>940.44007015228306</v>
      </c>
      <c r="D72">
        <v>886.74529933929398</v>
      </c>
      <c r="E72">
        <v>892.24422645568802</v>
      </c>
      <c r="F72">
        <v>1037.1865978241001</v>
      </c>
      <c r="G72">
        <v>1163.5486297607399</v>
      </c>
      <c r="H72">
        <v>1423.55043983459</v>
      </c>
      <c r="I72">
        <v>655.72169876098599</v>
      </c>
      <c r="J72">
        <v>808.793845176697</v>
      </c>
      <c r="K72">
        <v>796.358604431152</v>
      </c>
      <c r="L72">
        <v>1058.27771282196</v>
      </c>
      <c r="M72">
        <v>994.43838310241699</v>
      </c>
      <c r="N72">
        <v>1019.23356246948</v>
      </c>
      <c r="O72">
        <v>1077.73597717285</v>
      </c>
      <c r="P72">
        <v>871.068885803223</v>
      </c>
      <c r="Q72">
        <v>637.26145648956299</v>
      </c>
      <c r="S72" s="5">
        <f t="shared" si="9"/>
        <v>954.01924854516972</v>
      </c>
      <c r="T72" s="5">
        <f t="shared" si="7"/>
        <v>896.77611764592803</v>
      </c>
      <c r="U72" s="5"/>
      <c r="V72" s="7">
        <v>951.08416101792795</v>
      </c>
      <c r="W72" s="10"/>
      <c r="X72" s="5"/>
      <c r="Y72" s="2">
        <f t="shared" si="8"/>
        <v>35.332979035249565</v>
      </c>
      <c r="Z72" s="10">
        <f t="shared" si="10"/>
        <v>37.472715944106362</v>
      </c>
    </row>
    <row r="73" spans="1:26" x14ac:dyDescent="0.3">
      <c r="A73" s="2">
        <v>1969</v>
      </c>
      <c r="B73">
        <v>948.94228649139404</v>
      </c>
      <c r="C73">
        <v>881.42822504043602</v>
      </c>
      <c r="D73">
        <v>834.15946769714401</v>
      </c>
      <c r="E73">
        <v>858.01412105560303</v>
      </c>
      <c r="F73">
        <v>1046.01345443726</v>
      </c>
      <c r="G73">
        <v>1219.4162755012501</v>
      </c>
      <c r="H73">
        <v>1534.58954572678</v>
      </c>
      <c r="I73">
        <v>614.45149302482605</v>
      </c>
      <c r="J73">
        <v>760.07543420791603</v>
      </c>
      <c r="K73">
        <v>748.15404772758495</v>
      </c>
      <c r="L73">
        <v>1064.2884054184001</v>
      </c>
      <c r="M73">
        <v>947.24748992919899</v>
      </c>
      <c r="N73">
        <v>1054.88773417473</v>
      </c>
      <c r="O73">
        <v>1079.2795643806501</v>
      </c>
      <c r="P73">
        <v>894.85496568679798</v>
      </c>
      <c r="Q73">
        <v>586.40292930603005</v>
      </c>
      <c r="S73" s="5">
        <f t="shared" si="9"/>
        <v>942.01283998787505</v>
      </c>
      <c r="T73" s="5">
        <f t="shared" si="7"/>
        <v>876.01548109388602</v>
      </c>
      <c r="U73" s="5"/>
      <c r="V73" s="7">
        <v>946.618749405828</v>
      </c>
      <c r="W73" s="10"/>
      <c r="X73" s="5"/>
      <c r="Y73" s="2">
        <f t="shared" si="8"/>
        <v>34.51500995509911</v>
      </c>
      <c r="Z73" s="10">
        <f t="shared" si="10"/>
        <v>37.296778726589622</v>
      </c>
    </row>
    <row r="74" spans="1:26" x14ac:dyDescent="0.3">
      <c r="A74" s="2">
        <v>1970</v>
      </c>
      <c r="B74">
        <v>950.234274864197</v>
      </c>
      <c r="C74">
        <v>893.51719093322799</v>
      </c>
      <c r="D74">
        <v>833.79325199127197</v>
      </c>
      <c r="E74">
        <v>832.29776000976597</v>
      </c>
      <c r="F74">
        <v>987.54419898986805</v>
      </c>
      <c r="G74">
        <v>1119.4196090698199</v>
      </c>
      <c r="H74">
        <v>1408.84605789185</v>
      </c>
      <c r="I74">
        <v>596.65860557556198</v>
      </c>
      <c r="J74">
        <v>713.89403438568104</v>
      </c>
      <c r="K74">
        <v>733.59911727905296</v>
      </c>
      <c r="L74">
        <v>1009.74631309509</v>
      </c>
      <c r="M74">
        <v>918.22848129272495</v>
      </c>
      <c r="N74">
        <v>936.98755550384499</v>
      </c>
      <c r="O74">
        <v>1003.22458457947</v>
      </c>
      <c r="P74">
        <v>814.10964107513405</v>
      </c>
      <c r="Q74">
        <v>575.00774574279797</v>
      </c>
      <c r="S74" s="5">
        <f t="shared" si="9"/>
        <v>895.44427639245998</v>
      </c>
      <c r="T74" s="5">
        <f t="shared" si="7"/>
        <v>831.98543961911525</v>
      </c>
      <c r="U74" s="5"/>
      <c r="V74" s="7">
        <v>896.94382809093099</v>
      </c>
      <c r="W74" s="10"/>
      <c r="X74" s="5"/>
      <c r="Y74" s="2">
        <f t="shared" si="8"/>
        <v>32.780226320993137</v>
      </c>
      <c r="Z74" s="10">
        <f t="shared" si="10"/>
        <v>35.339586826782678</v>
      </c>
    </row>
    <row r="75" spans="1:26" x14ac:dyDescent="0.3">
      <c r="A75" s="2">
        <v>1971</v>
      </c>
      <c r="B75">
        <v>1013.05183601379</v>
      </c>
      <c r="C75">
        <v>935.44100666046097</v>
      </c>
      <c r="D75">
        <v>859.75144958496105</v>
      </c>
      <c r="E75">
        <v>858.253380775452</v>
      </c>
      <c r="F75">
        <v>1000.49712848663</v>
      </c>
      <c r="G75">
        <v>1134.2658319473301</v>
      </c>
      <c r="H75">
        <v>1414.98643112183</v>
      </c>
      <c r="I75">
        <v>705.91580677032505</v>
      </c>
      <c r="J75">
        <v>951.04276466369595</v>
      </c>
      <c r="K75">
        <v>877.16901493072498</v>
      </c>
      <c r="L75">
        <v>1202.4507141113299</v>
      </c>
      <c r="M75">
        <v>919.705015182495</v>
      </c>
      <c r="N75">
        <v>1105.8448858261099</v>
      </c>
      <c r="O75">
        <v>1026.1336250305201</v>
      </c>
      <c r="P75">
        <v>936.95653390884399</v>
      </c>
      <c r="Q75">
        <v>599.46422004699696</v>
      </c>
      <c r="S75" s="5">
        <f t="shared" si="9"/>
        <v>971.30810281634342</v>
      </c>
      <c r="T75" s="5">
        <f t="shared" si="7"/>
        <v>930.89043411870671</v>
      </c>
      <c r="U75" s="5"/>
      <c r="V75" s="7">
        <v>936.51039318423705</v>
      </c>
      <c r="W75" s="10"/>
      <c r="X75" s="5"/>
      <c r="Y75" s="2">
        <f t="shared" si="8"/>
        <v>36.677083104277045</v>
      </c>
      <c r="Z75" s="10">
        <f t="shared" si="10"/>
        <v>36.898509491458938</v>
      </c>
    </row>
    <row r="76" spans="1:26" x14ac:dyDescent="0.3">
      <c r="A76" s="2">
        <v>1972</v>
      </c>
      <c r="B76">
        <v>872.52298665046703</v>
      </c>
      <c r="C76">
        <v>816.78581929206803</v>
      </c>
      <c r="D76">
        <v>766.99125862121605</v>
      </c>
      <c r="E76">
        <v>782.48357486724899</v>
      </c>
      <c r="F76">
        <v>935.875588417053</v>
      </c>
      <c r="G76">
        <v>1072.8180770874001</v>
      </c>
      <c r="H76">
        <v>1355.93896198273</v>
      </c>
      <c r="I76">
        <v>650.24880218505905</v>
      </c>
      <c r="J76">
        <v>922.33813858032204</v>
      </c>
      <c r="K76">
        <v>818.234741687775</v>
      </c>
      <c r="L76">
        <v>1116.27260684967</v>
      </c>
      <c r="M76">
        <v>813.99539566040005</v>
      </c>
      <c r="N76">
        <v>1029.6048822403</v>
      </c>
      <c r="O76">
        <v>904.75726985931396</v>
      </c>
      <c r="P76">
        <v>851.36993288993801</v>
      </c>
      <c r="Q76">
        <v>526.89459371566795</v>
      </c>
      <c r="S76" s="5">
        <f t="shared" si="9"/>
        <v>889.82078941166446</v>
      </c>
      <c r="T76" s="5">
        <f t="shared" si="7"/>
        <v>853.53682786586751</v>
      </c>
      <c r="U76" s="5"/>
      <c r="V76" s="7">
        <v>851.17093730293504</v>
      </c>
      <c r="W76" s="10"/>
      <c r="X76" s="5"/>
      <c r="Y76" s="2">
        <f t="shared" si="8"/>
        <v>33.629351017915177</v>
      </c>
      <c r="Z76" s="10">
        <f t="shared" si="10"/>
        <v>33.536134929735638</v>
      </c>
    </row>
    <row r="77" spans="1:26" x14ac:dyDescent="0.3">
      <c r="A77" s="2">
        <v>1973</v>
      </c>
      <c r="B77">
        <v>1011.19705581665</v>
      </c>
      <c r="C77">
        <v>950.69256019592297</v>
      </c>
      <c r="D77">
        <v>884.28864479064896</v>
      </c>
      <c r="E77">
        <v>888.17345619201706</v>
      </c>
      <c r="F77">
        <v>1026.58347129822</v>
      </c>
      <c r="G77">
        <v>1158.69398498535</v>
      </c>
      <c r="H77">
        <v>1428.71518707275</v>
      </c>
      <c r="I77">
        <v>704.17931938171398</v>
      </c>
      <c r="J77">
        <v>812.83894157409702</v>
      </c>
      <c r="K77">
        <v>823.71343421936001</v>
      </c>
      <c r="L77">
        <v>1157.9029159545901</v>
      </c>
      <c r="M77">
        <v>1016.55617523193</v>
      </c>
      <c r="N77">
        <v>1089.2748355865499</v>
      </c>
      <c r="O77">
        <v>1116.3520965576199</v>
      </c>
      <c r="P77">
        <v>940.68693542480503</v>
      </c>
      <c r="Q77">
        <v>676.08060836792004</v>
      </c>
      <c r="S77" s="5">
        <f t="shared" si="9"/>
        <v>980.37060141563393</v>
      </c>
      <c r="T77" s="5">
        <f t="shared" si="7"/>
        <v>935.69435518598061</v>
      </c>
      <c r="U77" s="5"/>
      <c r="V77" s="7">
        <v>969.80731313067804</v>
      </c>
      <c r="W77" s="10"/>
      <c r="X77" s="5"/>
      <c r="Y77" s="2">
        <f t="shared" si="8"/>
        <v>36.866357594327631</v>
      </c>
      <c r="Z77" s="10">
        <f t="shared" si="10"/>
        <v>38.210408137348715</v>
      </c>
    </row>
    <row r="78" spans="1:26" x14ac:dyDescent="0.3">
      <c r="A78" s="2">
        <v>1974</v>
      </c>
      <c r="B78">
        <v>827.36613059043896</v>
      </c>
      <c r="C78">
        <v>759.94406318664596</v>
      </c>
      <c r="D78">
        <v>699.48559153079998</v>
      </c>
      <c r="E78">
        <v>698.11510348319996</v>
      </c>
      <c r="F78">
        <v>846.27431750297501</v>
      </c>
      <c r="G78">
        <v>979.74608731269802</v>
      </c>
      <c r="H78">
        <v>1243.9273858070401</v>
      </c>
      <c r="I78">
        <v>538.637364029884</v>
      </c>
      <c r="J78">
        <v>823.53955882787704</v>
      </c>
      <c r="K78">
        <v>652.87843136489403</v>
      </c>
      <c r="L78">
        <v>993.94875244796299</v>
      </c>
      <c r="M78">
        <v>767.70478200912498</v>
      </c>
      <c r="N78">
        <v>875.98577952385006</v>
      </c>
      <c r="O78">
        <v>848.61801075935398</v>
      </c>
      <c r="P78">
        <v>741.77645355463005</v>
      </c>
      <c r="Q78">
        <v>465.87811017036398</v>
      </c>
      <c r="S78" s="5">
        <f t="shared" si="9"/>
        <v>797.73912013135873</v>
      </c>
      <c r="T78" s="5">
        <f t="shared" si="7"/>
        <v>754.79894329375827</v>
      </c>
      <c r="U78" s="5"/>
      <c r="V78" s="7">
        <v>770.93995955487105</v>
      </c>
      <c r="W78" s="10"/>
      <c r="X78" s="5"/>
      <c r="Y78" s="2">
        <f t="shared" si="8"/>
        <v>29.739078365774073</v>
      </c>
      <c r="Z78" s="10">
        <f t="shared" si="10"/>
        <v>30.375034406461918</v>
      </c>
    </row>
    <row r="79" spans="1:26" x14ac:dyDescent="0.3">
      <c r="A79" s="2">
        <v>1975</v>
      </c>
      <c r="B79">
        <v>1047.1520943641699</v>
      </c>
      <c r="C79">
        <v>969.14155149459805</v>
      </c>
      <c r="D79">
        <v>905.18240547180199</v>
      </c>
      <c r="E79">
        <v>906.97669124603306</v>
      </c>
      <c r="F79">
        <v>1075.6592731475801</v>
      </c>
      <c r="G79">
        <v>1216.6953830719001</v>
      </c>
      <c r="H79">
        <v>1529.4646883010901</v>
      </c>
      <c r="I79">
        <v>683.69652462005604</v>
      </c>
      <c r="J79">
        <v>882.06621932983398</v>
      </c>
      <c r="K79">
        <v>817.00640106201195</v>
      </c>
      <c r="L79">
        <v>1174.1116390228301</v>
      </c>
      <c r="M79">
        <v>1006.1038608551</v>
      </c>
      <c r="N79">
        <v>1143.25161266327</v>
      </c>
      <c r="O79">
        <v>1121.6908473968499</v>
      </c>
      <c r="P79">
        <v>969.31899929046597</v>
      </c>
      <c r="Q79">
        <v>640.55723571777298</v>
      </c>
      <c r="S79" s="5">
        <f t="shared" si="9"/>
        <v>1005.5047141909604</v>
      </c>
      <c r="T79" s="5">
        <f t="shared" si="7"/>
        <v>946.66473520000818</v>
      </c>
      <c r="U79" s="5"/>
      <c r="V79" s="7">
        <v>991.66054047672901</v>
      </c>
      <c r="W79" s="10"/>
      <c r="X79" s="5"/>
      <c r="Y79" s="2">
        <f t="shared" si="8"/>
        <v>37.298590566880321</v>
      </c>
      <c r="Z79" s="10">
        <f t="shared" si="10"/>
        <v>39.071425294783118</v>
      </c>
    </row>
    <row r="80" spans="1:26" x14ac:dyDescent="0.3">
      <c r="A80" s="2">
        <v>1976</v>
      </c>
      <c r="B80">
        <v>757.07429885864303</v>
      </c>
      <c r="C80">
        <v>715.12805747985794</v>
      </c>
      <c r="D80">
        <v>679.53615188598599</v>
      </c>
      <c r="E80">
        <v>679.63146972656205</v>
      </c>
      <c r="F80">
        <v>780.75855827331497</v>
      </c>
      <c r="G80">
        <v>853.31786155700695</v>
      </c>
      <c r="H80">
        <v>1086.34743499756</v>
      </c>
      <c r="I80">
        <v>590.50262737274204</v>
      </c>
      <c r="J80">
        <v>912.00693321228005</v>
      </c>
      <c r="K80">
        <v>724.97778129577603</v>
      </c>
      <c r="L80">
        <v>1047.60753631592</v>
      </c>
      <c r="M80">
        <v>717.75117969512905</v>
      </c>
      <c r="N80">
        <v>899.52718162536598</v>
      </c>
      <c r="O80">
        <v>797.63066959381104</v>
      </c>
      <c r="P80">
        <v>756.65423202514603</v>
      </c>
      <c r="Q80">
        <v>499.13492679595998</v>
      </c>
      <c r="S80" s="5">
        <f t="shared" si="9"/>
        <v>781.09918129444134</v>
      </c>
      <c r="T80" s="5">
        <f t="shared" si="7"/>
        <v>771.21273851370927</v>
      </c>
      <c r="U80" s="5"/>
      <c r="V80" s="7">
        <v>729.07287634443003</v>
      </c>
      <c r="W80" s="10"/>
      <c r="X80" s="5"/>
      <c r="Y80" s="2">
        <f t="shared" si="8"/>
        <v>30.385781897440143</v>
      </c>
      <c r="Z80" s="10">
        <f t="shared" si="10"/>
        <v>28.725471327970542</v>
      </c>
    </row>
    <row r="81" spans="1:26" x14ac:dyDescent="0.3">
      <c r="A81" s="2">
        <v>1977</v>
      </c>
      <c r="B81">
        <v>630.60947895050003</v>
      </c>
      <c r="C81">
        <v>603.50974130630505</v>
      </c>
      <c r="D81">
        <v>576.02732157707203</v>
      </c>
      <c r="E81">
        <v>585.712970495224</v>
      </c>
      <c r="F81">
        <v>690.81513166427601</v>
      </c>
      <c r="G81">
        <v>778.71004056930497</v>
      </c>
      <c r="H81">
        <v>966.92784070968605</v>
      </c>
      <c r="I81">
        <v>433.57049286365498</v>
      </c>
      <c r="J81">
        <v>543.10772418975796</v>
      </c>
      <c r="K81">
        <v>497.91540074348399</v>
      </c>
      <c r="L81">
        <v>650.457447528839</v>
      </c>
      <c r="M81">
        <v>656.16136169433605</v>
      </c>
      <c r="N81">
        <v>653.22792553901695</v>
      </c>
      <c r="O81">
        <v>686.27052283287003</v>
      </c>
      <c r="P81">
        <v>549.21651196479797</v>
      </c>
      <c r="Q81">
        <v>431.66143608093302</v>
      </c>
      <c r="S81" s="5">
        <f t="shared" si="9"/>
        <v>620.86883429437864</v>
      </c>
      <c r="T81" s="5">
        <f t="shared" si="7"/>
        <v>578.90805544595355</v>
      </c>
      <c r="U81" s="5"/>
      <c r="V81" s="7">
        <v>620.294185858216</v>
      </c>
      <c r="W81" s="10"/>
      <c r="X81" s="5"/>
      <c r="Y81" s="2">
        <f t="shared" si="8"/>
        <v>22.808977384570568</v>
      </c>
      <c r="Z81" s="10">
        <f t="shared" si="10"/>
        <v>24.439590922813707</v>
      </c>
    </row>
    <row r="82" spans="1:26" x14ac:dyDescent="0.3">
      <c r="A82" s="2">
        <v>1978</v>
      </c>
      <c r="B82">
        <v>1057.4092209339101</v>
      </c>
      <c r="C82">
        <v>985.392102241516</v>
      </c>
      <c r="D82">
        <v>934.79258155822799</v>
      </c>
      <c r="E82">
        <v>949.79809141159103</v>
      </c>
      <c r="F82">
        <v>1109.4858777523</v>
      </c>
      <c r="G82">
        <v>1217.6894324421901</v>
      </c>
      <c r="H82">
        <v>1533.4406227618499</v>
      </c>
      <c r="I82">
        <v>713.138719081879</v>
      </c>
      <c r="J82">
        <v>1061.5458621978801</v>
      </c>
      <c r="K82">
        <v>852.58101463317905</v>
      </c>
      <c r="L82">
        <v>1231.1655297279401</v>
      </c>
      <c r="M82">
        <v>993.619683027267</v>
      </c>
      <c r="N82">
        <v>1076.5600392818501</v>
      </c>
      <c r="O82">
        <v>1135.08332180977</v>
      </c>
      <c r="P82">
        <v>963.367364168167</v>
      </c>
      <c r="Q82">
        <v>648.40681892633404</v>
      </c>
      <c r="S82" s="5">
        <f t="shared" si="9"/>
        <v>1028.9672676222408</v>
      </c>
      <c r="T82" s="5">
        <f t="shared" si="7"/>
        <v>978.61381300123867</v>
      </c>
      <c r="U82" s="5"/>
      <c r="V82" s="7">
        <v>1011.07186754107</v>
      </c>
      <c r="W82" s="10"/>
      <c r="X82" s="5"/>
      <c r="Y82" s="2">
        <f t="shared" si="8"/>
        <v>38.557384232248801</v>
      </c>
      <c r="Z82" s="10">
        <f t="shared" si="10"/>
        <v>39.836231581118156</v>
      </c>
    </row>
    <row r="83" spans="1:26" x14ac:dyDescent="0.3">
      <c r="A83" s="2">
        <v>1979</v>
      </c>
      <c r="B83">
        <v>636.77866757335096</v>
      </c>
      <c r="C83">
        <v>594.80998253822304</v>
      </c>
      <c r="D83">
        <v>569.44986071996402</v>
      </c>
      <c r="E83">
        <v>584.69614577293396</v>
      </c>
      <c r="F83">
        <v>727.45398807525601</v>
      </c>
      <c r="G83">
        <v>852.04577326774597</v>
      </c>
      <c r="H83">
        <v>1087.1524946689599</v>
      </c>
      <c r="I83">
        <v>463.67689800262502</v>
      </c>
      <c r="J83">
        <v>644.72302460670505</v>
      </c>
      <c r="K83">
        <v>578.53181585995503</v>
      </c>
      <c r="L83">
        <v>784.10866975784302</v>
      </c>
      <c r="M83">
        <v>651.20140886306797</v>
      </c>
      <c r="N83">
        <v>768.71970522403706</v>
      </c>
      <c r="O83">
        <v>740.79962062835705</v>
      </c>
      <c r="P83">
        <v>672.01756310462997</v>
      </c>
      <c r="Q83">
        <v>409.22529315948498</v>
      </c>
      <c r="S83" s="5">
        <f t="shared" si="9"/>
        <v>672.83693198894605</v>
      </c>
      <c r="T83" s="5">
        <f t="shared" si="7"/>
        <v>639.99535298354294</v>
      </c>
      <c r="U83" s="5"/>
      <c r="V83" s="7">
        <v>660.874292251219</v>
      </c>
      <c r="W83" s="10"/>
      <c r="X83" s="5"/>
      <c r="Y83" s="2">
        <f t="shared" si="8"/>
        <v>25.215816907551591</v>
      </c>
      <c r="Z83" s="10">
        <f t="shared" si="10"/>
        <v>26.038447114698027</v>
      </c>
    </row>
    <row r="84" spans="1:26" x14ac:dyDescent="0.3">
      <c r="A84" s="2">
        <v>1980</v>
      </c>
      <c r="B84">
        <v>977.38741493225098</v>
      </c>
      <c r="C84">
        <v>922.21239852905296</v>
      </c>
      <c r="D84">
        <v>881.35137748718296</v>
      </c>
      <c r="E84">
        <v>903.82999229431198</v>
      </c>
      <c r="F84">
        <v>1098.1581707000701</v>
      </c>
      <c r="G84">
        <v>1275.07055854797</v>
      </c>
      <c r="H84">
        <v>1612.3452529907199</v>
      </c>
      <c r="I84">
        <v>724.83562088012695</v>
      </c>
      <c r="J84">
        <v>927.46670722961403</v>
      </c>
      <c r="K84">
        <v>870.91583728790295</v>
      </c>
      <c r="L84">
        <v>1117.45849990845</v>
      </c>
      <c r="M84">
        <v>924.865760803223</v>
      </c>
      <c r="N84">
        <v>1085.71608352661</v>
      </c>
      <c r="O84">
        <v>1045.7059726715099</v>
      </c>
      <c r="P84">
        <v>959.51244735717796</v>
      </c>
      <c r="Q84">
        <v>657.645057678223</v>
      </c>
      <c r="S84" s="5">
        <f t="shared" si="9"/>
        <v>999.02982205152489</v>
      </c>
      <c r="T84" s="5">
        <f t="shared" si="7"/>
        <v>939.40322424854912</v>
      </c>
      <c r="U84" s="5"/>
      <c r="V84" s="7">
        <v>994.10826867744697</v>
      </c>
      <c r="W84" s="10"/>
      <c r="X84" s="5"/>
      <c r="Y84" s="2">
        <f t="shared" si="8"/>
        <v>37.01248703539283</v>
      </c>
      <c r="Z84" s="10">
        <f t="shared" si="10"/>
        <v>39.167865785891408</v>
      </c>
    </row>
    <row r="85" spans="1:26" x14ac:dyDescent="0.3">
      <c r="A85" s="2">
        <v>1981</v>
      </c>
      <c r="B85">
        <v>775.26256942749001</v>
      </c>
      <c r="C85">
        <v>750.00209999084495</v>
      </c>
      <c r="D85">
        <v>714.93749427795399</v>
      </c>
      <c r="E85">
        <v>723.51717662811302</v>
      </c>
      <c r="F85">
        <v>859.19312572479203</v>
      </c>
      <c r="G85">
        <v>981.50850868225098</v>
      </c>
      <c r="H85">
        <v>1214.5723094940199</v>
      </c>
      <c r="I85">
        <v>437.31970739364601</v>
      </c>
      <c r="J85">
        <v>611.45445251464798</v>
      </c>
      <c r="K85">
        <v>509.53869771957397</v>
      </c>
      <c r="L85">
        <v>673.84534454345703</v>
      </c>
      <c r="M85">
        <v>782.101293563843</v>
      </c>
      <c r="N85">
        <v>629.60532355308499</v>
      </c>
      <c r="O85">
        <v>848.312461853027</v>
      </c>
      <c r="P85">
        <v>573.95763230323803</v>
      </c>
      <c r="Q85">
        <v>558.65002584457397</v>
      </c>
      <c r="S85" s="5">
        <f t="shared" si="9"/>
        <v>727.73613896965992</v>
      </c>
      <c r="T85" s="5">
        <f t="shared" si="7"/>
        <v>659.76585394760957</v>
      </c>
      <c r="U85" s="5"/>
      <c r="V85" s="7">
        <v>760.18041950918405</v>
      </c>
      <c r="W85" s="10"/>
      <c r="X85" s="5"/>
      <c r="Y85" s="2">
        <f t="shared" si="8"/>
        <v>25.994774645535816</v>
      </c>
      <c r="Z85" s="10">
        <f t="shared" si="10"/>
        <v>29.951108528661848</v>
      </c>
    </row>
    <row r="86" spans="1:26" x14ac:dyDescent="0.3">
      <c r="A86" s="2">
        <v>1982</v>
      </c>
      <c r="B86">
        <v>1297.5974445342999</v>
      </c>
      <c r="C86">
        <v>1235.3031311035199</v>
      </c>
      <c r="D86">
        <v>1178.8657703399699</v>
      </c>
      <c r="E86">
        <v>1209.21179771423</v>
      </c>
      <c r="F86">
        <v>1461.9336833953901</v>
      </c>
      <c r="G86">
        <v>1701.68239021301</v>
      </c>
      <c r="H86">
        <v>2130.8358917236301</v>
      </c>
      <c r="I86">
        <v>947.44841003418003</v>
      </c>
      <c r="J86">
        <v>1220.0428886413599</v>
      </c>
      <c r="K86">
        <v>1161.46800994873</v>
      </c>
      <c r="L86">
        <v>1444.2090339660599</v>
      </c>
      <c r="M86">
        <v>1201.48256492615</v>
      </c>
      <c r="N86">
        <v>1408.4375553131099</v>
      </c>
      <c r="O86">
        <v>1369.17164230347</v>
      </c>
      <c r="P86">
        <v>1219.3007144927999</v>
      </c>
      <c r="Q86">
        <v>819.60396766662598</v>
      </c>
      <c r="S86" s="5">
        <f t="shared" si="9"/>
        <v>1312.9121810197835</v>
      </c>
      <c r="T86" s="5">
        <f t="shared" si="7"/>
        <v>1223.6822185376907</v>
      </c>
      <c r="U86" s="5"/>
      <c r="V86" s="7">
        <v>1305.3950960601801</v>
      </c>
      <c r="W86" s="10"/>
      <c r="X86" s="5"/>
      <c r="Y86" s="2">
        <f t="shared" si="8"/>
        <v>48.213079410385014</v>
      </c>
      <c r="Z86" s="10">
        <f t="shared" si="10"/>
        <v>51.43256678477109</v>
      </c>
    </row>
    <row r="87" spans="1:26" x14ac:dyDescent="0.3">
      <c r="A87" s="2">
        <v>1983</v>
      </c>
      <c r="B87">
        <v>1140.2289352416999</v>
      </c>
      <c r="C87">
        <v>1087.0812301635699</v>
      </c>
      <c r="D87">
        <v>1033.42640304565</v>
      </c>
      <c r="E87">
        <v>1043.36228561401</v>
      </c>
      <c r="F87">
        <v>1273.0614624023401</v>
      </c>
      <c r="G87">
        <v>1466.1666793823199</v>
      </c>
      <c r="H87">
        <v>1809.5052986144999</v>
      </c>
      <c r="I87">
        <v>798.30988693237305</v>
      </c>
      <c r="J87">
        <v>990.72695922851597</v>
      </c>
      <c r="K87">
        <v>949.01258087158203</v>
      </c>
      <c r="L87">
        <v>1201.5846557617199</v>
      </c>
      <c r="M87">
        <v>1006.91751861572</v>
      </c>
      <c r="N87">
        <v>1214.1937751769999</v>
      </c>
      <c r="O87">
        <v>1129.6567001342801</v>
      </c>
      <c r="P87">
        <v>1063.4067077636701</v>
      </c>
      <c r="Q87">
        <v>736.14029693603504</v>
      </c>
      <c r="S87" s="5">
        <f t="shared" si="9"/>
        <v>1121.4238359928117</v>
      </c>
      <c r="T87" s="5">
        <f t="shared" si="7"/>
        <v>1032.2890050535759</v>
      </c>
      <c r="U87" s="5"/>
      <c r="V87" s="7">
        <v>1130.0210097710201</v>
      </c>
      <c r="W87" s="10"/>
      <c r="X87" s="5"/>
      <c r="Y87" s="2">
        <f t="shared" si="8"/>
        <v>40.672186799110889</v>
      </c>
      <c r="Z87" s="10">
        <f t="shared" si="10"/>
        <v>44.52282778497819</v>
      </c>
    </row>
    <row r="88" spans="1:26" x14ac:dyDescent="0.3">
      <c r="A88" s="2">
        <v>1984</v>
      </c>
      <c r="B88">
        <v>1167.1082153320301</v>
      </c>
      <c r="C88">
        <v>1123.5001754760699</v>
      </c>
      <c r="D88">
        <v>1096.4473533630401</v>
      </c>
      <c r="E88">
        <v>1119.22842025757</v>
      </c>
      <c r="F88">
        <v>1283.1503219604499</v>
      </c>
      <c r="G88">
        <v>1423.3688659668001</v>
      </c>
      <c r="H88">
        <v>1721.9441375732399</v>
      </c>
      <c r="I88">
        <v>815.18278121948197</v>
      </c>
      <c r="J88">
        <v>1004.63952255249</v>
      </c>
      <c r="K88">
        <v>977.35146713256802</v>
      </c>
      <c r="L88">
        <v>1210.1238212585399</v>
      </c>
      <c r="M88">
        <v>1015.56175613403</v>
      </c>
      <c r="N88">
        <v>1279.7699508666999</v>
      </c>
      <c r="O88">
        <v>1188.9737091064501</v>
      </c>
      <c r="P88">
        <v>1086.4419250488299</v>
      </c>
      <c r="Q88">
        <v>742.88878059387196</v>
      </c>
      <c r="S88" s="5">
        <f t="shared" si="9"/>
        <v>1140.9800752401352</v>
      </c>
      <c r="T88" s="5">
        <f t="shared" si="7"/>
        <v>1052.632318561379</v>
      </c>
      <c r="U88" s="5"/>
      <c r="V88" s="7">
        <v>1145.1658443162</v>
      </c>
      <c r="W88" s="10"/>
      <c r="X88" s="5"/>
      <c r="Y88" s="2">
        <f t="shared" si="8"/>
        <v>41.473713351318331</v>
      </c>
      <c r="Z88" s="10">
        <f t="shared" si="10"/>
        <v>45.119534266058281</v>
      </c>
    </row>
    <row r="89" spans="1:26" x14ac:dyDescent="0.3">
      <c r="A89" s="2">
        <v>1985</v>
      </c>
      <c r="B89">
        <v>861.74248820543301</v>
      </c>
      <c r="C89">
        <v>829.56540346145596</v>
      </c>
      <c r="D89">
        <v>818.98701173067104</v>
      </c>
      <c r="E89">
        <v>871.63631707429897</v>
      </c>
      <c r="F89">
        <v>1068.0064078569401</v>
      </c>
      <c r="G89">
        <v>1245.6648457050301</v>
      </c>
      <c r="H89">
        <v>1598.8552050590499</v>
      </c>
      <c r="I89">
        <v>607.93051846325397</v>
      </c>
      <c r="J89">
        <v>715.75525331497204</v>
      </c>
      <c r="K89">
        <v>751.86198115348805</v>
      </c>
      <c r="L89">
        <v>931.64168500900303</v>
      </c>
      <c r="M89">
        <v>836.46346902847301</v>
      </c>
      <c r="N89">
        <v>960.85068035125698</v>
      </c>
      <c r="O89">
        <v>946.40656661987305</v>
      </c>
      <c r="P89">
        <v>843.98485946655296</v>
      </c>
      <c r="Q89">
        <v>568.62918686866794</v>
      </c>
      <c r="S89" s="5">
        <f t="shared" si="9"/>
        <v>903.62386746052618</v>
      </c>
      <c r="T89" s="5">
        <f t="shared" si="7"/>
        <v>821.47445944246454</v>
      </c>
      <c r="U89" s="5"/>
      <c r="V89" s="7">
        <v>921.906570633044</v>
      </c>
      <c r="W89" s="10"/>
      <c r="X89" s="5"/>
      <c r="Y89" s="2">
        <f t="shared" si="8"/>
        <v>32.366093702033098</v>
      </c>
      <c r="Z89" s="10">
        <f t="shared" si="10"/>
        <v>36.323118882941934</v>
      </c>
    </row>
    <row r="90" spans="1:26" x14ac:dyDescent="0.3">
      <c r="A90" s="2">
        <v>1986</v>
      </c>
      <c r="B90">
        <v>1253.98717308044</v>
      </c>
      <c r="C90">
        <v>1199.7678594589199</v>
      </c>
      <c r="D90">
        <v>1133.38259029388</v>
      </c>
      <c r="E90">
        <v>1137.6078443527199</v>
      </c>
      <c r="F90">
        <v>1371.9149856567401</v>
      </c>
      <c r="G90">
        <v>1566.4625654220599</v>
      </c>
      <c r="H90">
        <v>1957.5913467407199</v>
      </c>
      <c r="I90">
        <v>897.81817150116001</v>
      </c>
      <c r="J90">
        <v>1212.1503286361699</v>
      </c>
      <c r="K90">
        <v>1089.46922588348</v>
      </c>
      <c r="L90">
        <v>1395.1924476623501</v>
      </c>
      <c r="M90">
        <v>1139.84470367432</v>
      </c>
      <c r="N90">
        <v>1445.770362854</v>
      </c>
      <c r="O90">
        <v>1360.6256904602001</v>
      </c>
      <c r="P90">
        <v>1192.3252649307301</v>
      </c>
      <c r="Q90">
        <v>816.99950790405296</v>
      </c>
      <c r="S90" s="5">
        <f t="shared" si="9"/>
        <v>1260.6818792819963</v>
      </c>
      <c r="T90" s="5">
        <f t="shared" si="7"/>
        <v>1183.9194334703463</v>
      </c>
      <c r="U90" s="5"/>
      <c r="V90" s="7">
        <v>1245.01937285651</v>
      </c>
      <c r="W90" s="10"/>
      <c r="X90" s="5"/>
      <c r="Y90" s="2">
        <f t="shared" si="8"/>
        <v>46.646425678731646</v>
      </c>
      <c r="Z90" s="10">
        <f t="shared" si="10"/>
        <v>49.053763290546492</v>
      </c>
    </row>
    <row r="91" spans="1:26" x14ac:dyDescent="0.3">
      <c r="A91" s="2">
        <v>1987</v>
      </c>
      <c r="B91">
        <v>578.04275894165005</v>
      </c>
      <c r="C91">
        <v>554.23677539825405</v>
      </c>
      <c r="D91">
        <v>533.070900917053</v>
      </c>
      <c r="E91">
        <v>559.425756454468</v>
      </c>
      <c r="F91">
        <v>665.199963569641</v>
      </c>
      <c r="G91">
        <v>761.06425285339401</v>
      </c>
      <c r="H91">
        <v>916.52186012268101</v>
      </c>
      <c r="I91">
        <v>457.78582668304398</v>
      </c>
      <c r="J91">
        <v>669.20254516601597</v>
      </c>
      <c r="K91">
        <v>551.68153858184803</v>
      </c>
      <c r="L91">
        <v>647.716233253479</v>
      </c>
      <c r="M91">
        <v>752.92789554596004</v>
      </c>
      <c r="N91">
        <v>678.18375492096004</v>
      </c>
      <c r="O91">
        <v>785.25933265686001</v>
      </c>
      <c r="P91">
        <v>554.14497280120804</v>
      </c>
      <c r="Q91">
        <v>450.30749988555903</v>
      </c>
      <c r="S91" s="5">
        <f t="shared" si="9"/>
        <v>632.17324173450481</v>
      </c>
      <c r="T91" s="5">
        <f t="shared" si="7"/>
        <v>620.18682273935542</v>
      </c>
      <c r="U91" s="5"/>
      <c r="V91" s="7">
        <v>610.78634280476604</v>
      </c>
      <c r="W91" s="10"/>
      <c r="X91" s="5"/>
      <c r="Y91" s="2">
        <f t="shared" si="8"/>
        <v>24.435360815930601</v>
      </c>
      <c r="Z91" s="10">
        <f t="shared" si="10"/>
        <v>24.064981906507779</v>
      </c>
    </row>
    <row r="92" spans="1:26" x14ac:dyDescent="0.3">
      <c r="A92" s="2">
        <v>1988</v>
      </c>
      <c r="B92">
        <v>554.70465898513805</v>
      </c>
      <c r="C92">
        <v>525.53455591201805</v>
      </c>
      <c r="D92">
        <v>503.38052105903603</v>
      </c>
      <c r="E92">
        <v>516.34849047660805</v>
      </c>
      <c r="F92">
        <v>587.44245648384106</v>
      </c>
      <c r="G92">
        <v>630.54994773864701</v>
      </c>
      <c r="H92">
        <v>738.29003405570995</v>
      </c>
      <c r="I92">
        <v>394.25935387611401</v>
      </c>
      <c r="J92">
        <v>608.42517852783203</v>
      </c>
      <c r="K92">
        <v>497.682483196259</v>
      </c>
      <c r="L92">
        <v>655.71766185760498</v>
      </c>
      <c r="M92">
        <v>616.76359558105503</v>
      </c>
      <c r="N92">
        <v>603.26819419860794</v>
      </c>
      <c r="O92">
        <v>668.57248306274403</v>
      </c>
      <c r="P92">
        <v>543.30157041549705</v>
      </c>
      <c r="Q92">
        <v>390.68028163909901</v>
      </c>
      <c r="S92" s="5">
        <f t="shared" si="9"/>
        <v>564.6825916916132</v>
      </c>
      <c r="T92" s="5">
        <f t="shared" si="7"/>
        <v>556.86932193857967</v>
      </c>
      <c r="U92" s="5"/>
      <c r="V92" s="7">
        <v>543.75885230099595</v>
      </c>
      <c r="W92" s="10"/>
      <c r="X92" s="5"/>
      <c r="Y92" s="2">
        <f t="shared" si="8"/>
        <v>21.940651284380039</v>
      </c>
      <c r="Z92" s="10">
        <f t="shared" si="10"/>
        <v>21.424098780659239</v>
      </c>
    </row>
    <row r="93" spans="1:26" x14ac:dyDescent="0.3">
      <c r="A93" s="2">
        <v>1989</v>
      </c>
      <c r="B93">
        <v>730.94848775863602</v>
      </c>
      <c r="C93">
        <v>691.868454456329</v>
      </c>
      <c r="D93">
        <v>672.44673967361496</v>
      </c>
      <c r="E93">
        <v>703.38981342315697</v>
      </c>
      <c r="F93">
        <v>797.32649564742997</v>
      </c>
      <c r="G93">
        <v>876.15012216568005</v>
      </c>
      <c r="H93">
        <v>1033.2536993026699</v>
      </c>
      <c r="I93">
        <v>533.32444190979004</v>
      </c>
      <c r="J93">
        <v>815.41354346275295</v>
      </c>
      <c r="K93">
        <v>663.09128236770596</v>
      </c>
      <c r="L93">
        <v>863.53611731529202</v>
      </c>
      <c r="M93">
        <v>829.92184638977005</v>
      </c>
      <c r="N93">
        <v>834.41221570968605</v>
      </c>
      <c r="O93">
        <v>914.67588520050003</v>
      </c>
      <c r="P93">
        <v>744.55235946178402</v>
      </c>
      <c r="Q93">
        <v>558.448633670807</v>
      </c>
      <c r="S93" s="5">
        <f t="shared" si="9"/>
        <v>766.42250861972548</v>
      </c>
      <c r="T93" s="5">
        <f t="shared" si="7"/>
        <v>755.47989977399016</v>
      </c>
      <c r="U93" s="5"/>
      <c r="V93" s="7">
        <v>746.64186462138696</v>
      </c>
      <c r="W93" s="10"/>
      <c r="X93" s="5"/>
      <c r="Y93" s="2">
        <f t="shared" si="8"/>
        <v>29.765908051095209</v>
      </c>
      <c r="Z93" s="10">
        <f t="shared" si="10"/>
        <v>29.417689466082646</v>
      </c>
    </row>
    <row r="94" spans="1:26" x14ac:dyDescent="0.3">
      <c r="A94" s="2">
        <v>1990</v>
      </c>
      <c r="B94">
        <v>614.56246566772495</v>
      </c>
      <c r="C94">
        <v>591.910838127136</v>
      </c>
      <c r="D94">
        <v>566.60592937469505</v>
      </c>
      <c r="E94">
        <v>592.62980461120605</v>
      </c>
      <c r="F94">
        <v>702.31363105773903</v>
      </c>
      <c r="G94">
        <v>823.14288902282703</v>
      </c>
      <c r="H94">
        <v>1033.6603240966799</v>
      </c>
      <c r="I94">
        <v>458.71770286560098</v>
      </c>
      <c r="J94">
        <v>689.32073307037399</v>
      </c>
      <c r="K94">
        <v>563.95758438110397</v>
      </c>
      <c r="L94">
        <v>714.64753437042202</v>
      </c>
      <c r="M94">
        <v>773.28577423095703</v>
      </c>
      <c r="N94">
        <v>689.852319717407</v>
      </c>
      <c r="O94">
        <v>854.44047164917004</v>
      </c>
      <c r="P94">
        <v>617.92262649536099</v>
      </c>
      <c r="Q94">
        <v>482.18877601623501</v>
      </c>
      <c r="S94" s="5">
        <f t="shared" si="9"/>
        <v>673.07246279716492</v>
      </c>
      <c r="T94" s="5">
        <f t="shared" si="7"/>
        <v>658.17921014929061</v>
      </c>
      <c r="U94" s="5"/>
      <c r="V94" s="7">
        <v>660.62631318114597</v>
      </c>
      <c r="W94" s="10"/>
      <c r="X94" s="5"/>
      <c r="Y94" s="2">
        <f t="shared" si="8"/>
        <v>25.932260879882048</v>
      </c>
      <c r="Z94" s="10">
        <f t="shared" si="10"/>
        <v>26.028676739337151</v>
      </c>
    </row>
    <row r="95" spans="1:26" x14ac:dyDescent="0.3">
      <c r="A95" s="2">
        <v>1991</v>
      </c>
      <c r="B95">
        <v>832.63940048217796</v>
      </c>
      <c r="C95">
        <v>797.253186225891</v>
      </c>
      <c r="D95">
        <v>764.769590854645</v>
      </c>
      <c r="E95">
        <v>785.95988750457798</v>
      </c>
      <c r="F95">
        <v>902.17601108551003</v>
      </c>
      <c r="G95">
        <v>990.78964805603005</v>
      </c>
      <c r="H95">
        <v>1162.5671901702899</v>
      </c>
      <c r="I95">
        <v>617.307529449463</v>
      </c>
      <c r="J95">
        <v>816.87388610839798</v>
      </c>
      <c r="K95">
        <v>725.46021652221702</v>
      </c>
      <c r="L95">
        <v>859.57222366332996</v>
      </c>
      <c r="M95">
        <v>897.38656616210903</v>
      </c>
      <c r="N95">
        <v>843.557717323303</v>
      </c>
      <c r="O95">
        <v>969.10985946655296</v>
      </c>
      <c r="P95">
        <v>795.10035753250099</v>
      </c>
      <c r="Q95">
        <v>573.90445709228504</v>
      </c>
      <c r="S95" s="5">
        <f t="shared" si="9"/>
        <v>833.4017329812051</v>
      </c>
      <c r="T95" s="5">
        <f t="shared" si="7"/>
        <v>798.62422954259137</v>
      </c>
      <c r="U95" s="5"/>
      <c r="V95" s="7">
        <v>826.40538046141501</v>
      </c>
      <c r="W95" s="10"/>
      <c r="X95" s="5"/>
      <c r="Y95" s="2">
        <f t="shared" si="8"/>
        <v>31.465794643978096</v>
      </c>
      <c r="Z95" s="10">
        <f t="shared" si="10"/>
        <v>32.560371990179746</v>
      </c>
    </row>
    <row r="96" spans="1:26" x14ac:dyDescent="0.3">
      <c r="A96" s="2">
        <v>1992</v>
      </c>
      <c r="B96">
        <v>586.31310176849399</v>
      </c>
      <c r="C96">
        <v>571.239283561707</v>
      </c>
      <c r="D96">
        <v>553.19719505310104</v>
      </c>
      <c r="E96">
        <v>571.42056465148903</v>
      </c>
      <c r="F96">
        <v>657.22889518737804</v>
      </c>
      <c r="G96">
        <v>720.98432159423805</v>
      </c>
      <c r="H96">
        <v>858.00893783569302</v>
      </c>
      <c r="I96">
        <v>417.63664627075201</v>
      </c>
      <c r="J96">
        <v>613.49584865570102</v>
      </c>
      <c r="K96">
        <v>501.69592618942301</v>
      </c>
      <c r="L96">
        <v>647.35429954528797</v>
      </c>
      <c r="M96">
        <v>641.09809303283703</v>
      </c>
      <c r="N96">
        <v>579.52709674835205</v>
      </c>
      <c r="O96">
        <v>707.99254226684604</v>
      </c>
      <c r="P96">
        <v>526.67355728149403</v>
      </c>
      <c r="Q96">
        <v>438.89243507385299</v>
      </c>
      <c r="S96" s="5">
        <f t="shared" si="9"/>
        <v>599.54742154479038</v>
      </c>
      <c r="T96" s="5">
        <f t="shared" si="7"/>
        <v>577.28855451870686</v>
      </c>
      <c r="U96" s="5"/>
      <c r="V96" s="7">
        <v>592.52797023463199</v>
      </c>
      <c r="W96" s="10"/>
      <c r="X96" s="5"/>
      <c r="Y96" s="2">
        <f t="shared" si="8"/>
        <v>22.745169048037049</v>
      </c>
      <c r="Z96" s="10">
        <f t="shared" si="10"/>
        <v>23.3456020272445</v>
      </c>
    </row>
    <row r="97" spans="1:26" x14ac:dyDescent="0.3">
      <c r="A97" s="2">
        <v>1993</v>
      </c>
      <c r="B97">
        <v>1057.92054653168</v>
      </c>
      <c r="C97">
        <v>1027.6957483291601</v>
      </c>
      <c r="D97">
        <v>997.71824073791504</v>
      </c>
      <c r="E97">
        <v>1009.54493618011</v>
      </c>
      <c r="F97">
        <v>1160.09717178345</v>
      </c>
      <c r="G97">
        <v>1279.416888237</v>
      </c>
      <c r="H97">
        <v>1506.54343891144</v>
      </c>
      <c r="I97">
        <v>742.71052742004395</v>
      </c>
      <c r="J97">
        <v>973.58063697814896</v>
      </c>
      <c r="K97">
        <v>893.78014373779297</v>
      </c>
      <c r="L97">
        <v>1134.87854862213</v>
      </c>
      <c r="M97">
        <v>1012.51419830322</v>
      </c>
      <c r="N97">
        <v>1144.3720188140901</v>
      </c>
      <c r="O97">
        <v>1154.7222366333001</v>
      </c>
      <c r="P97">
        <v>982.64357566833496</v>
      </c>
      <c r="Q97">
        <v>745.46601009368896</v>
      </c>
      <c r="S97" s="5">
        <f t="shared" si="9"/>
        <v>1051.4753041863441</v>
      </c>
      <c r="T97" s="5">
        <f t="shared" si="7"/>
        <v>992.27002093687634</v>
      </c>
      <c r="U97" s="5"/>
      <c r="V97" s="7">
        <v>1051.8814004969199</v>
      </c>
      <c r="W97" s="10"/>
      <c r="X97" s="5"/>
      <c r="Y97" s="2">
        <f t="shared" si="8"/>
        <v>39.095438824912925</v>
      </c>
      <c r="Z97" s="10">
        <f t="shared" si="10"/>
        <v>41.444127179578643</v>
      </c>
    </row>
    <row r="98" spans="1:26" x14ac:dyDescent="0.3">
      <c r="A98" s="2">
        <v>1994</v>
      </c>
      <c r="B98">
        <v>690.37175130844105</v>
      </c>
      <c r="C98">
        <v>666.59087657928501</v>
      </c>
      <c r="D98">
        <v>652.01138114929199</v>
      </c>
      <c r="E98">
        <v>673.30555295944202</v>
      </c>
      <c r="F98">
        <v>777.66753196716297</v>
      </c>
      <c r="G98">
        <v>861.610520362854</v>
      </c>
      <c r="H98">
        <v>1027.9785652160599</v>
      </c>
      <c r="I98">
        <v>456.69093322753901</v>
      </c>
      <c r="J98">
        <v>566.84258508682296</v>
      </c>
      <c r="K98">
        <v>560.04930436611198</v>
      </c>
      <c r="L98">
        <v>681.09546661376999</v>
      </c>
      <c r="M98">
        <v>713.75690364837601</v>
      </c>
      <c r="N98">
        <v>687.19298601150501</v>
      </c>
      <c r="O98">
        <v>770.12911415100098</v>
      </c>
      <c r="P98">
        <v>631.03488445282005</v>
      </c>
      <c r="Q98">
        <v>464.332390785217</v>
      </c>
      <c r="S98" s="5">
        <f t="shared" si="9"/>
        <v>680.04129674285628</v>
      </c>
      <c r="T98" s="5">
        <f t="shared" si="7"/>
        <v>631.72577663132836</v>
      </c>
      <c r="U98" s="5"/>
      <c r="V98" s="7">
        <v>691.94239676387497</v>
      </c>
      <c r="W98" s="10"/>
      <c r="X98" s="5"/>
      <c r="Y98" s="2">
        <f t="shared" si="8"/>
        <v>24.889995599274336</v>
      </c>
      <c r="Z98" s="10">
        <f t="shared" si="10"/>
        <v>27.262530432496671</v>
      </c>
    </row>
    <row r="99" spans="1:26" x14ac:dyDescent="0.3">
      <c r="A99" s="2">
        <v>1995</v>
      </c>
      <c r="B99">
        <v>1135.7670383453401</v>
      </c>
      <c r="C99">
        <v>1097.1455039978</v>
      </c>
      <c r="D99">
        <v>1061.4644575119</v>
      </c>
      <c r="E99">
        <v>1083.8418779373201</v>
      </c>
      <c r="F99">
        <v>1238.61547851562</v>
      </c>
      <c r="G99">
        <v>1371.38246536255</v>
      </c>
      <c r="H99">
        <v>1645.52794265747</v>
      </c>
      <c r="I99">
        <v>772.40205955505405</v>
      </c>
      <c r="J99">
        <v>946.36228370666504</v>
      </c>
      <c r="K99">
        <v>921.93576812744095</v>
      </c>
      <c r="L99">
        <v>1085.43699073792</v>
      </c>
      <c r="M99">
        <v>1084.5910987853999</v>
      </c>
      <c r="N99">
        <v>1077.4557304382299</v>
      </c>
      <c r="O99">
        <v>1170.33714485168</v>
      </c>
      <c r="P99">
        <v>985.60124969482399</v>
      </c>
      <c r="Q99">
        <v>751.809144973755</v>
      </c>
      <c r="S99" s="5">
        <f t="shared" si="9"/>
        <v>1089.3547646999357</v>
      </c>
      <c r="T99" s="5">
        <f t="shared" si="7"/>
        <v>1006.5096544813501</v>
      </c>
      <c r="U99" s="5"/>
      <c r="V99" s="7">
        <v>1107.9142725706199</v>
      </c>
      <c r="W99" s="10"/>
      <c r="X99" s="5"/>
      <c r="Y99" s="2">
        <f t="shared" si="8"/>
        <v>39.656480386565192</v>
      </c>
      <c r="Z99" s="10">
        <f t="shared" si="10"/>
        <v>43.651822339282425</v>
      </c>
    </row>
    <row r="100" spans="1:26" x14ac:dyDescent="0.3">
      <c r="A100" s="2">
        <v>1996</v>
      </c>
      <c r="B100">
        <v>859.12788850069001</v>
      </c>
      <c r="C100">
        <v>814.03211367130302</v>
      </c>
      <c r="D100">
        <v>781.04072177410103</v>
      </c>
      <c r="E100">
        <v>803.71746683120705</v>
      </c>
      <c r="F100">
        <v>945.70590972900402</v>
      </c>
      <c r="G100">
        <v>1049.63414001465</v>
      </c>
      <c r="H100">
        <v>1244.1600923538199</v>
      </c>
      <c r="I100">
        <v>611.37463617324795</v>
      </c>
      <c r="J100">
        <v>952.13352680206299</v>
      </c>
      <c r="K100">
        <v>762.12602186203003</v>
      </c>
      <c r="L100">
        <v>1003.42112851143</v>
      </c>
      <c r="M100">
        <v>914.79051971435501</v>
      </c>
      <c r="N100">
        <v>853.02492660283997</v>
      </c>
      <c r="O100">
        <v>994.78407287597702</v>
      </c>
      <c r="P100">
        <v>791.66472434997604</v>
      </c>
      <c r="Q100">
        <v>585.33744907379196</v>
      </c>
      <c r="S100" s="5">
        <f t="shared" si="9"/>
        <v>872.8797086775304</v>
      </c>
      <c r="T100" s="5">
        <f t="shared" si="7"/>
        <v>846.73162204896028</v>
      </c>
      <c r="U100" s="5"/>
      <c r="V100" s="7">
        <v>853.89537345200995</v>
      </c>
      <c r="W100" s="10"/>
      <c r="X100" s="5"/>
      <c r="Y100" s="2">
        <f t="shared" si="8"/>
        <v>33.361225908729033</v>
      </c>
      <c r="Z100" s="10">
        <f t="shared" si="10"/>
        <v>33.643477714009187</v>
      </c>
    </row>
    <row r="101" spans="1:26" x14ac:dyDescent="0.3">
      <c r="A101" s="2">
        <v>1997</v>
      </c>
      <c r="B101">
        <v>1041.2915744781501</v>
      </c>
      <c r="C101">
        <v>996.516075134277</v>
      </c>
      <c r="D101">
        <v>966.53135108947799</v>
      </c>
      <c r="E101">
        <v>980.439208984375</v>
      </c>
      <c r="F101">
        <v>1113.51880645752</v>
      </c>
      <c r="G101">
        <v>1221.8373279571499</v>
      </c>
      <c r="H101">
        <v>1459.8070850372301</v>
      </c>
      <c r="I101">
        <v>919.00468063354504</v>
      </c>
      <c r="J101">
        <v>1162.2919235229499</v>
      </c>
      <c r="K101">
        <v>1101.10195159912</v>
      </c>
      <c r="L101">
        <v>1369.1928367614701</v>
      </c>
      <c r="M101">
        <v>1075.84482955933</v>
      </c>
      <c r="N101">
        <v>1335.4923400878899</v>
      </c>
      <c r="O101">
        <v>1207.06552505493</v>
      </c>
      <c r="P101">
        <v>1164.6781482696499</v>
      </c>
      <c r="Q101">
        <v>720.12782859802201</v>
      </c>
      <c r="S101" s="5">
        <f t="shared" si="9"/>
        <v>1114.6713433265679</v>
      </c>
      <c r="T101" s="5">
        <f t="shared" ref="T101:T129" si="11">(B101*$B$3)+(C101*$C$3)+(D101*$D$3)+(E101*$E$3)+(F101*$F$3)+(G101*$G$3)+(H101*$H$3)+(I101*$I$3)+(J101*$J$3)+(K101*$K$3)+(L101*$L$3)+(M101*$M$3)+(N101*$N$3)+(O101*$O$3)+(P101*$P$3)+(Q101*$Q$3)</f>
        <v>1104.1434833407411</v>
      </c>
      <c r="U101" s="5"/>
      <c r="V101" s="7">
        <v>1055.12225838158</v>
      </c>
      <c r="W101" s="10"/>
      <c r="X101" s="5"/>
      <c r="Y101" s="2">
        <f t="shared" ref="Y101:Y129" si="12">T101*0.0394</f>
        <v>43.503253243625196</v>
      </c>
      <c r="Z101" s="10">
        <f t="shared" si="10"/>
        <v>41.571816980234246</v>
      </c>
    </row>
    <row r="102" spans="1:26" x14ac:dyDescent="0.3">
      <c r="A102" s="2">
        <v>1998</v>
      </c>
      <c r="B102">
        <v>1041.3350143432599</v>
      </c>
      <c r="C102">
        <v>994.13476753234897</v>
      </c>
      <c r="D102">
        <v>960.22492218017601</v>
      </c>
      <c r="E102">
        <v>960.24408531188999</v>
      </c>
      <c r="F102">
        <v>1071.63904380798</v>
      </c>
      <c r="G102">
        <v>1157.56007003784</v>
      </c>
      <c r="H102">
        <v>1344.5535011291499</v>
      </c>
      <c r="I102">
        <v>786.90559387206997</v>
      </c>
      <c r="J102">
        <v>878.17281723022495</v>
      </c>
      <c r="K102">
        <v>931.21133041381802</v>
      </c>
      <c r="L102">
        <v>1060.10350799561</v>
      </c>
      <c r="M102">
        <v>963.80292510986305</v>
      </c>
      <c r="N102">
        <v>1136.2757225036601</v>
      </c>
      <c r="O102">
        <v>1055.6243476867701</v>
      </c>
      <c r="P102">
        <v>993.52162933349598</v>
      </c>
      <c r="Q102">
        <v>641.88554382324196</v>
      </c>
      <c r="S102" s="5">
        <f t="shared" si="9"/>
        <v>998.57467639446259</v>
      </c>
      <c r="T102" s="5">
        <f t="shared" si="11"/>
        <v>941.325972353162</v>
      </c>
      <c r="U102" s="5"/>
      <c r="V102" s="7">
        <v>986.20805216961196</v>
      </c>
      <c r="W102" s="10"/>
      <c r="X102" s="5"/>
      <c r="Y102" s="2">
        <f t="shared" si="12"/>
        <v>37.088243310714581</v>
      </c>
      <c r="Z102" s="10">
        <f t="shared" si="10"/>
        <v>38.856597255482711</v>
      </c>
    </row>
    <row r="103" spans="1:26" x14ac:dyDescent="0.3">
      <c r="A103" s="2">
        <v>1999</v>
      </c>
      <c r="B103">
        <v>856.10781478881802</v>
      </c>
      <c r="C103">
        <v>833.73670387268101</v>
      </c>
      <c r="D103">
        <v>822.72541618347202</v>
      </c>
      <c r="E103">
        <v>856.186279296875</v>
      </c>
      <c r="F103">
        <v>980.88651466369595</v>
      </c>
      <c r="G103">
        <v>1063.4137668609601</v>
      </c>
      <c r="H103">
        <v>1224.2328529357901</v>
      </c>
      <c r="I103">
        <v>681.76355361938499</v>
      </c>
      <c r="J103">
        <v>954.836938858032</v>
      </c>
      <c r="K103">
        <v>811.49016952514603</v>
      </c>
      <c r="L103">
        <v>1008.23484230042</v>
      </c>
      <c r="M103">
        <v>953.43939208984398</v>
      </c>
      <c r="N103">
        <v>915.30514526367199</v>
      </c>
      <c r="O103">
        <v>1027.9178123474101</v>
      </c>
      <c r="P103">
        <v>854.83905029296898</v>
      </c>
      <c r="Q103">
        <v>645.48055267333996</v>
      </c>
      <c r="S103" s="5">
        <f t="shared" si="9"/>
        <v>905.66230034828186</v>
      </c>
      <c r="T103" s="5">
        <f t="shared" si="11"/>
        <v>883.92675940719539</v>
      </c>
      <c r="U103" s="5"/>
      <c r="V103" s="7">
        <v>886.45254961479498</v>
      </c>
      <c r="W103" s="10"/>
      <c r="X103" s="5"/>
      <c r="Y103" s="2">
        <f t="shared" si="12"/>
        <v>34.826714320643497</v>
      </c>
      <c r="Z103" s="10">
        <f t="shared" si="10"/>
        <v>34.926230454822921</v>
      </c>
    </row>
    <row r="104" spans="1:26" x14ac:dyDescent="0.3">
      <c r="A104" s="2">
        <v>2000</v>
      </c>
      <c r="B104">
        <v>698.19442605972301</v>
      </c>
      <c r="C104">
        <v>661.76761722564697</v>
      </c>
      <c r="D104">
        <v>641.65374374389603</v>
      </c>
      <c r="E104">
        <v>655.57196331024204</v>
      </c>
      <c r="F104">
        <v>753.51243209838901</v>
      </c>
      <c r="G104">
        <v>815.75380897521995</v>
      </c>
      <c r="H104">
        <v>977.10536289215099</v>
      </c>
      <c r="I104">
        <v>455.60344219207798</v>
      </c>
      <c r="J104">
        <v>665.39298820495605</v>
      </c>
      <c r="K104">
        <v>560.35136079788197</v>
      </c>
      <c r="L104">
        <v>702.09414291381802</v>
      </c>
      <c r="M104">
        <v>710.82256507873501</v>
      </c>
      <c r="N104">
        <v>689.143993377686</v>
      </c>
      <c r="O104">
        <v>785.81919288635299</v>
      </c>
      <c r="P104">
        <v>640.66772174835205</v>
      </c>
      <c r="Q104">
        <v>472.71313190460199</v>
      </c>
      <c r="S104" s="5">
        <f t="shared" si="9"/>
        <v>680.38549333810806</v>
      </c>
      <c r="T104" s="5">
        <f t="shared" si="11"/>
        <v>644.29584683741894</v>
      </c>
      <c r="U104" s="5"/>
      <c r="V104" s="7">
        <v>682.446269217392</v>
      </c>
      <c r="W104" s="10"/>
      <c r="X104" s="5"/>
      <c r="Y104" s="2">
        <f t="shared" si="12"/>
        <v>25.385256365394305</v>
      </c>
      <c r="Z104" s="10">
        <f t="shared" si="10"/>
        <v>26.888383007165242</v>
      </c>
    </row>
    <row r="105" spans="1:26" x14ac:dyDescent="0.3">
      <c r="A105" s="2">
        <v>2001</v>
      </c>
      <c r="B105">
        <v>655.30302524566696</v>
      </c>
      <c r="C105">
        <v>623.99224567413296</v>
      </c>
      <c r="D105">
        <v>608.31071853637695</v>
      </c>
      <c r="E105">
        <v>628.51105117797897</v>
      </c>
      <c r="F105">
        <v>731.33359146118198</v>
      </c>
      <c r="G105">
        <v>803.91630744934105</v>
      </c>
      <c r="H105">
        <v>953.51915740966797</v>
      </c>
      <c r="I105">
        <v>430.66201114654501</v>
      </c>
      <c r="J105">
        <v>528.74766063690197</v>
      </c>
      <c r="K105">
        <v>507.19689083099399</v>
      </c>
      <c r="L105">
        <v>631.55551338195801</v>
      </c>
      <c r="M105">
        <v>674.04532432556198</v>
      </c>
      <c r="N105">
        <v>639.70517396926903</v>
      </c>
      <c r="O105">
        <v>707.96157646179199</v>
      </c>
      <c r="P105">
        <v>576.17653274536099</v>
      </c>
      <c r="Q105">
        <v>436.07012748718302</v>
      </c>
      <c r="S105" s="5">
        <f t="shared" si="9"/>
        <v>633.56293174624454</v>
      </c>
      <c r="T105" s="5">
        <f t="shared" si="11"/>
        <v>585.89040923543973</v>
      </c>
      <c r="U105" s="5"/>
      <c r="V105" s="7">
        <v>646.64244593082401</v>
      </c>
      <c r="W105" s="10"/>
      <c r="X105" s="5"/>
      <c r="Y105" s="2">
        <f t="shared" si="12"/>
        <v>23.084082123876325</v>
      </c>
      <c r="Z105" s="10">
        <f t="shared" si="10"/>
        <v>25.477712369674464</v>
      </c>
    </row>
    <row r="106" spans="1:26" x14ac:dyDescent="0.3">
      <c r="A106" s="2">
        <v>2002</v>
      </c>
      <c r="B106">
        <v>750.21916818618797</v>
      </c>
      <c r="C106">
        <v>720.70227193832397</v>
      </c>
      <c r="D106">
        <v>708.52821922302201</v>
      </c>
      <c r="E106">
        <v>725.95051574706997</v>
      </c>
      <c r="F106">
        <v>817.43487930297897</v>
      </c>
      <c r="G106">
        <v>894.82788181304898</v>
      </c>
      <c r="H106">
        <v>1099.2518873214699</v>
      </c>
      <c r="I106">
        <v>530.19959115982101</v>
      </c>
      <c r="J106">
        <v>698.63007962703705</v>
      </c>
      <c r="K106">
        <v>625.44310522079502</v>
      </c>
      <c r="L106">
        <v>808.978979110718</v>
      </c>
      <c r="M106">
        <v>694.08922958374001</v>
      </c>
      <c r="N106">
        <v>771.55630208551895</v>
      </c>
      <c r="O106">
        <v>785.09440326690697</v>
      </c>
      <c r="P106">
        <v>684.21434164047196</v>
      </c>
      <c r="Q106">
        <v>489.96890687942499</v>
      </c>
      <c r="S106" s="5">
        <f t="shared" si="9"/>
        <v>737.8181101316585</v>
      </c>
      <c r="T106" s="5">
        <f t="shared" si="11"/>
        <v>690.08273484339691</v>
      </c>
      <c r="U106" s="5"/>
      <c r="V106" s="7">
        <v>736.24216710700705</v>
      </c>
      <c r="W106" s="10"/>
      <c r="X106" s="5"/>
      <c r="Y106" s="2">
        <f t="shared" si="12"/>
        <v>27.189259752829837</v>
      </c>
      <c r="Z106" s="10">
        <f t="shared" si="10"/>
        <v>29.007941384016075</v>
      </c>
    </row>
    <row r="107" spans="1:26" x14ac:dyDescent="0.3">
      <c r="A107" s="2">
        <v>2003</v>
      </c>
      <c r="B107">
        <v>601.71980953216598</v>
      </c>
      <c r="C107">
        <v>585.58285236358597</v>
      </c>
      <c r="D107">
        <v>580.149438858032</v>
      </c>
      <c r="E107">
        <v>600.72836780548096</v>
      </c>
      <c r="F107">
        <v>699.389122962952</v>
      </c>
      <c r="G107">
        <v>769.81895160675003</v>
      </c>
      <c r="H107">
        <v>913.37373065948498</v>
      </c>
      <c r="I107">
        <v>488.44367408752402</v>
      </c>
      <c r="J107">
        <v>671.74288558959995</v>
      </c>
      <c r="K107">
        <v>576.430126190186</v>
      </c>
      <c r="L107">
        <v>770.44136524200405</v>
      </c>
      <c r="M107">
        <v>728.63743591308605</v>
      </c>
      <c r="N107">
        <v>611.98733901977505</v>
      </c>
      <c r="O107">
        <v>780.98081207275402</v>
      </c>
      <c r="P107">
        <v>583.89650058746304</v>
      </c>
      <c r="Q107">
        <v>510.87591266632103</v>
      </c>
      <c r="S107" s="5">
        <f t="shared" si="9"/>
        <v>654.63739532232285</v>
      </c>
      <c r="T107" s="5">
        <f t="shared" si="11"/>
        <v>649.8989203273195</v>
      </c>
      <c r="U107" s="5"/>
      <c r="V107" s="7">
        <v>638.23470771114899</v>
      </c>
      <c r="W107" s="10"/>
      <c r="X107" s="5"/>
      <c r="Y107" s="2">
        <f t="shared" si="12"/>
        <v>25.606017460896386</v>
      </c>
      <c r="Z107" s="10">
        <f t="shared" si="10"/>
        <v>25.146447483819269</v>
      </c>
    </row>
    <row r="108" spans="1:26" x14ac:dyDescent="0.3">
      <c r="A108" s="2">
        <v>2004</v>
      </c>
      <c r="B108">
        <v>793.43036842346203</v>
      </c>
      <c r="C108">
        <v>758.21058082580601</v>
      </c>
      <c r="D108">
        <v>739.49646377563499</v>
      </c>
      <c r="E108">
        <v>745.26728630065895</v>
      </c>
      <c r="F108">
        <v>819.79380607605003</v>
      </c>
      <c r="G108">
        <v>873.97414398193405</v>
      </c>
      <c r="H108">
        <v>1016.47707271576</v>
      </c>
      <c r="I108">
        <v>575.64016056060802</v>
      </c>
      <c r="J108">
        <v>787.86625671386696</v>
      </c>
      <c r="K108">
        <v>686.29130172729504</v>
      </c>
      <c r="L108">
        <v>863.95239639282204</v>
      </c>
      <c r="M108">
        <v>708.83758354187</v>
      </c>
      <c r="N108">
        <v>819.93225002288796</v>
      </c>
      <c r="O108">
        <v>763.52447509765602</v>
      </c>
      <c r="P108">
        <v>764.09817123413097</v>
      </c>
      <c r="Q108">
        <v>497.099738121033</v>
      </c>
      <c r="S108" s="5">
        <f t="shared" si="9"/>
        <v>763.36825346946728</v>
      </c>
      <c r="T108" s="5">
        <f t="shared" si="11"/>
        <v>725.31830565800919</v>
      </c>
      <c r="U108" s="5"/>
      <c r="V108" s="7">
        <v>753.40162154473899</v>
      </c>
      <c r="W108" s="10"/>
      <c r="X108" s="5"/>
      <c r="Y108" s="2">
        <f t="shared" si="12"/>
        <v>28.577541242925559</v>
      </c>
      <c r="Z108" s="10">
        <f t="shared" si="10"/>
        <v>29.684023888862715</v>
      </c>
    </row>
    <row r="109" spans="1:26" x14ac:dyDescent="0.3">
      <c r="A109" s="2">
        <v>2005</v>
      </c>
      <c r="B109">
        <v>1005.66085091233</v>
      </c>
      <c r="C109">
        <v>971.23328089714005</v>
      </c>
      <c r="D109">
        <v>935.70197993516899</v>
      </c>
      <c r="E109">
        <v>958.05546206235897</v>
      </c>
      <c r="F109">
        <v>1123.5492736101201</v>
      </c>
      <c r="G109">
        <v>1277.1904540062001</v>
      </c>
      <c r="H109">
        <v>1562.1318998336801</v>
      </c>
      <c r="I109">
        <v>742.24261879921005</v>
      </c>
      <c r="J109">
        <v>846.92318439483597</v>
      </c>
      <c r="K109">
        <v>874.98863410949696</v>
      </c>
      <c r="L109">
        <v>1018.05548810959</v>
      </c>
      <c r="M109">
        <v>969.82681274414097</v>
      </c>
      <c r="N109">
        <v>1122.6290277242699</v>
      </c>
      <c r="O109">
        <v>1066.4302339553799</v>
      </c>
      <c r="P109">
        <v>966.7572504282</v>
      </c>
      <c r="Q109">
        <v>657.02818489074696</v>
      </c>
      <c r="S109" s="5">
        <f t="shared" si="9"/>
        <v>1006.1502897758044</v>
      </c>
      <c r="T109" s="5">
        <f t="shared" si="11"/>
        <v>930.8843059500025</v>
      </c>
      <c r="U109" s="5"/>
      <c r="V109" s="7">
        <v>1014.18621921762</v>
      </c>
      <c r="W109" s="10"/>
      <c r="X109" s="5"/>
      <c r="Y109" s="2">
        <f t="shared" si="12"/>
        <v>36.676841654430099</v>
      </c>
      <c r="Z109" s="10">
        <f t="shared" si="10"/>
        <v>39.958937037174223</v>
      </c>
    </row>
    <row r="110" spans="1:26" x14ac:dyDescent="0.3">
      <c r="A110" s="2">
        <v>2006</v>
      </c>
      <c r="B110">
        <v>1021.97407341003</v>
      </c>
      <c r="C110">
        <v>983.42464256286598</v>
      </c>
      <c r="D110">
        <v>960.20606040954601</v>
      </c>
      <c r="E110">
        <v>973.46793651580799</v>
      </c>
      <c r="F110">
        <v>1106.4491386413599</v>
      </c>
      <c r="G110">
        <v>1191.4226875305201</v>
      </c>
      <c r="H110">
        <v>1407.71033668518</v>
      </c>
      <c r="I110">
        <v>690.06574153900101</v>
      </c>
      <c r="J110">
        <v>910.46849441528298</v>
      </c>
      <c r="K110">
        <v>864.46131229400601</v>
      </c>
      <c r="L110">
        <v>1090.3904542923001</v>
      </c>
      <c r="M110">
        <v>909.11921691894497</v>
      </c>
      <c r="N110">
        <v>1105.67762851715</v>
      </c>
      <c r="O110">
        <v>1023.48291778564</v>
      </c>
      <c r="P110">
        <v>968.12539482116699</v>
      </c>
      <c r="Q110">
        <v>612.74339294433605</v>
      </c>
      <c r="S110" s="5">
        <f t="shared" si="9"/>
        <v>988.69933933019638</v>
      </c>
      <c r="T110" s="5">
        <f t="shared" si="11"/>
        <v>921.18402290822826</v>
      </c>
      <c r="U110" s="5"/>
      <c r="V110" s="7">
        <v>987.62534005830798</v>
      </c>
      <c r="W110" s="10"/>
      <c r="X110" s="5"/>
      <c r="Y110" s="2">
        <f t="shared" si="12"/>
        <v>36.29465050258419</v>
      </c>
      <c r="Z110" s="10">
        <f t="shared" si="10"/>
        <v>38.912438398297333</v>
      </c>
    </row>
    <row r="111" spans="1:26" x14ac:dyDescent="0.3">
      <c r="A111" s="2">
        <v>2007</v>
      </c>
      <c r="B111">
        <v>664.35540962219204</v>
      </c>
      <c r="C111">
        <v>649.80764579772995</v>
      </c>
      <c r="D111">
        <v>642.48435211181595</v>
      </c>
      <c r="E111">
        <v>671.91986274719204</v>
      </c>
      <c r="F111">
        <v>766.55674362182594</v>
      </c>
      <c r="G111">
        <v>815.21918296813999</v>
      </c>
      <c r="H111">
        <v>941.39630126953102</v>
      </c>
      <c r="I111">
        <v>476.31202316284202</v>
      </c>
      <c r="J111">
        <v>711.34828758239701</v>
      </c>
      <c r="K111">
        <v>571.55613040924095</v>
      </c>
      <c r="L111">
        <v>695.82674121856701</v>
      </c>
      <c r="M111">
        <v>748.80953598022495</v>
      </c>
      <c r="N111">
        <v>723.80069732666004</v>
      </c>
      <c r="O111">
        <v>810.26199722290005</v>
      </c>
      <c r="P111">
        <v>636.14184093475296</v>
      </c>
      <c r="Q111">
        <v>507.495158195496</v>
      </c>
      <c r="S111" s="5">
        <f t="shared" si="9"/>
        <v>689.58074438571919</v>
      </c>
      <c r="T111" s="5">
        <f t="shared" si="11"/>
        <v>662.49539666496685</v>
      </c>
      <c r="U111" s="5"/>
      <c r="V111" s="7">
        <v>684.11648881257304</v>
      </c>
      <c r="W111" s="10"/>
      <c r="X111" s="5"/>
      <c r="Y111" s="2">
        <f t="shared" si="12"/>
        <v>26.102318628599694</v>
      </c>
      <c r="Z111" s="10">
        <f t="shared" si="10"/>
        <v>26.954189659215377</v>
      </c>
    </row>
    <row r="112" spans="1:26" x14ac:dyDescent="0.3">
      <c r="A112" s="2">
        <v>2008</v>
      </c>
      <c r="B112">
        <v>797.56531929969799</v>
      </c>
      <c r="C112">
        <v>754.99494528770401</v>
      </c>
      <c r="D112">
        <v>728.20522499084495</v>
      </c>
      <c r="E112">
        <v>766.22982358932495</v>
      </c>
      <c r="F112">
        <v>933.26088809966996</v>
      </c>
      <c r="G112">
        <v>1068.4102559089699</v>
      </c>
      <c r="H112">
        <v>1329.030626297</v>
      </c>
      <c r="I112">
        <v>536.56600546836899</v>
      </c>
      <c r="J112">
        <v>796.90593671798695</v>
      </c>
      <c r="K112">
        <v>663.83133530616794</v>
      </c>
      <c r="L112">
        <v>848.05578255653404</v>
      </c>
      <c r="M112">
        <v>860.26503372192406</v>
      </c>
      <c r="N112">
        <v>809.82637405395496</v>
      </c>
      <c r="O112">
        <v>959.73533630371105</v>
      </c>
      <c r="P112">
        <v>754.90800631046295</v>
      </c>
      <c r="Q112">
        <v>540.55728316307102</v>
      </c>
      <c r="S112" s="5">
        <f t="shared" si="9"/>
        <v>821.77176106721208</v>
      </c>
      <c r="T112" s="5">
        <f t="shared" si="11"/>
        <v>772.6041628110379</v>
      </c>
      <c r="U112" s="5"/>
      <c r="V112" s="7">
        <v>825.56522284492996</v>
      </c>
      <c r="W112" s="10"/>
      <c r="X112" s="5"/>
      <c r="Y112" s="2">
        <f t="shared" si="12"/>
        <v>30.440604014754893</v>
      </c>
      <c r="Z112" s="10">
        <f t="shared" si="10"/>
        <v>32.527269780090236</v>
      </c>
    </row>
    <row r="113" spans="1:26" x14ac:dyDescent="0.3">
      <c r="A113" s="2">
        <v>2009</v>
      </c>
      <c r="B113">
        <v>959.17271709442105</v>
      </c>
      <c r="C113">
        <v>907.80714035034202</v>
      </c>
      <c r="D113">
        <v>869.80175304412796</v>
      </c>
      <c r="E113">
        <v>868.96887111663796</v>
      </c>
      <c r="F113">
        <v>984.37999868393001</v>
      </c>
      <c r="G113">
        <v>1081.7883682250999</v>
      </c>
      <c r="H113">
        <v>1320.43367433548</v>
      </c>
      <c r="I113">
        <v>619.82872295379605</v>
      </c>
      <c r="J113">
        <v>912.48872375488304</v>
      </c>
      <c r="K113">
        <v>768.00330162048294</v>
      </c>
      <c r="L113">
        <v>998.79722261428799</v>
      </c>
      <c r="M113">
        <v>900.65383720397995</v>
      </c>
      <c r="N113">
        <v>1005.5608205795299</v>
      </c>
      <c r="O113">
        <v>1041.64415931702</v>
      </c>
      <c r="P113">
        <v>862.06978988647495</v>
      </c>
      <c r="Q113">
        <v>649.78147697448696</v>
      </c>
      <c r="S113" s="5">
        <f t="shared" si="9"/>
        <v>921.94878610968635</v>
      </c>
      <c r="T113" s="5">
        <f t="shared" si="11"/>
        <v>874.75074880565671</v>
      </c>
      <c r="U113" s="5"/>
      <c r="V113" s="7">
        <v>916.12075965312101</v>
      </c>
      <c r="W113" s="10"/>
      <c r="X113" s="5"/>
      <c r="Y113" s="2">
        <f t="shared" si="12"/>
        <v>34.465179502942874</v>
      </c>
      <c r="Z113" s="10">
        <f t="shared" si="10"/>
        <v>36.095157930332967</v>
      </c>
    </row>
    <row r="114" spans="1:26" x14ac:dyDescent="0.3">
      <c r="A114" s="2">
        <v>2010</v>
      </c>
      <c r="B114">
        <v>782.55201339721702</v>
      </c>
      <c r="C114">
        <v>753.49339389801003</v>
      </c>
      <c r="D114">
        <v>727.130759239197</v>
      </c>
      <c r="E114">
        <v>750.13889789581299</v>
      </c>
      <c r="F114">
        <v>876.29083824157703</v>
      </c>
      <c r="G114">
        <v>970.62722969055199</v>
      </c>
      <c r="H114">
        <v>1171.02466583252</v>
      </c>
      <c r="I114">
        <v>571.87421464919998</v>
      </c>
      <c r="J114">
        <v>738.66923904419002</v>
      </c>
      <c r="K114">
        <v>654.86680698394798</v>
      </c>
      <c r="L114">
        <v>797.68648719787598</v>
      </c>
      <c r="M114">
        <v>811.78289604187</v>
      </c>
      <c r="N114">
        <v>736.01150178909302</v>
      </c>
      <c r="O114">
        <v>895.14007949829102</v>
      </c>
      <c r="P114">
        <v>679.01645994186401</v>
      </c>
      <c r="Q114">
        <v>566.26378917694103</v>
      </c>
      <c r="S114" s="5">
        <f t="shared" si="9"/>
        <v>780.16057953238487</v>
      </c>
      <c r="T114" s="5">
        <f t="shared" si="11"/>
        <v>736.68353542639159</v>
      </c>
      <c r="U114" s="5"/>
      <c r="V114" s="7">
        <v>785.14792168199801</v>
      </c>
      <c r="W114" s="10"/>
      <c r="X114" s="5"/>
      <c r="Y114" s="2">
        <f t="shared" si="12"/>
        <v>29.025331295799827</v>
      </c>
      <c r="Z114" s="10">
        <f t="shared" si="10"/>
        <v>30.934828114270719</v>
      </c>
    </row>
    <row r="115" spans="1:26" x14ac:dyDescent="0.3">
      <c r="A115" s="2">
        <v>2011</v>
      </c>
      <c r="B115">
        <v>1250.1880331039399</v>
      </c>
      <c r="C115">
        <v>1191.8994455337499</v>
      </c>
      <c r="D115">
        <v>1151.66651535034</v>
      </c>
      <c r="E115">
        <v>1158.18251609802</v>
      </c>
      <c r="F115">
        <v>1314.9420566558799</v>
      </c>
      <c r="G115">
        <v>1458.88243484497</v>
      </c>
      <c r="H115">
        <v>1787.4504947662399</v>
      </c>
      <c r="I115">
        <v>946.08654212951706</v>
      </c>
      <c r="J115">
        <v>1119.2517795562701</v>
      </c>
      <c r="K115">
        <v>1104.9943065643299</v>
      </c>
      <c r="L115">
        <v>1296.6365108489999</v>
      </c>
      <c r="M115">
        <v>1242.06190872192</v>
      </c>
      <c r="N115">
        <v>1349.08850860596</v>
      </c>
      <c r="O115">
        <v>1332.16821670532</v>
      </c>
      <c r="P115">
        <v>1169.16603851318</v>
      </c>
      <c r="Q115">
        <v>839.998046875</v>
      </c>
      <c r="S115" s="5">
        <f t="shared" si="9"/>
        <v>1232.0414596796022</v>
      </c>
      <c r="T115" s="5">
        <f t="shared" si="11"/>
        <v>1165.9527211710342</v>
      </c>
      <c r="U115" s="5"/>
      <c r="V115" s="7">
        <v>1214.6622337342801</v>
      </c>
      <c r="W115" s="10"/>
      <c r="X115" s="5"/>
      <c r="Y115" s="2">
        <f t="shared" si="12"/>
        <v>45.938537214138748</v>
      </c>
      <c r="Z115" s="10">
        <f t="shared" si="10"/>
        <v>47.857692009130631</v>
      </c>
    </row>
    <row r="116" spans="1:26" x14ac:dyDescent="0.3">
      <c r="A116" s="2">
        <v>2012</v>
      </c>
      <c r="B116">
        <v>586.55648955702804</v>
      </c>
      <c r="C116">
        <v>552.31024208292399</v>
      </c>
      <c r="D116">
        <v>535.578968733549</v>
      </c>
      <c r="E116">
        <v>545.19576018303599</v>
      </c>
      <c r="F116">
        <v>625.33406829833996</v>
      </c>
      <c r="G116">
        <v>727.95511518488297</v>
      </c>
      <c r="H116">
        <v>914.21036887541402</v>
      </c>
      <c r="I116">
        <v>448.45989189297001</v>
      </c>
      <c r="J116">
        <v>676.16023015975998</v>
      </c>
      <c r="K116">
        <v>552.64451462030399</v>
      </c>
      <c r="L116">
        <v>695.42400503158603</v>
      </c>
      <c r="M116">
        <v>636.45730316639003</v>
      </c>
      <c r="N116">
        <v>696.14557409286499</v>
      </c>
      <c r="O116">
        <v>641.28848370909702</v>
      </c>
      <c r="P116">
        <v>574.91290628910099</v>
      </c>
      <c r="Q116">
        <v>393.04925537109398</v>
      </c>
      <c r="S116" s="5">
        <f t="shared" si="9"/>
        <v>612.60519857802115</v>
      </c>
      <c r="T116" s="5">
        <f t="shared" si="11"/>
        <v>592.68161080082496</v>
      </c>
      <c r="U116" s="5"/>
      <c r="V116" s="7">
        <v>585.83138747998805</v>
      </c>
      <c r="W116" s="10"/>
      <c r="X116" s="5"/>
      <c r="Y116" s="2">
        <f t="shared" si="12"/>
        <v>23.351655465552501</v>
      </c>
      <c r="Z116" s="10">
        <f t="shared" si="10"/>
        <v>23.081756666711527</v>
      </c>
    </row>
    <row r="117" spans="1:26" x14ac:dyDescent="0.3">
      <c r="A117" s="2">
        <v>2013</v>
      </c>
      <c r="B117">
        <v>731.12327003479004</v>
      </c>
      <c r="C117">
        <v>717.58044624328602</v>
      </c>
      <c r="D117">
        <v>710.02283573150601</v>
      </c>
      <c r="E117">
        <v>739.28217887878395</v>
      </c>
      <c r="F117">
        <v>816.60947855561994</v>
      </c>
      <c r="G117">
        <v>901.70029759406998</v>
      </c>
      <c r="H117">
        <v>1073.0555562973</v>
      </c>
      <c r="I117">
        <v>526.70931053161598</v>
      </c>
      <c r="J117">
        <v>733.77989244461105</v>
      </c>
      <c r="K117">
        <v>602.12393958866596</v>
      </c>
      <c r="L117">
        <v>727.42570054903604</v>
      </c>
      <c r="M117">
        <v>759.82666015625</v>
      </c>
      <c r="N117">
        <v>652.66813397407498</v>
      </c>
      <c r="O117">
        <v>791.58634948730503</v>
      </c>
      <c r="P117">
        <v>603.50270561873901</v>
      </c>
      <c r="Q117">
        <v>514.15108680725098</v>
      </c>
      <c r="S117" s="5">
        <f t="shared" si="9"/>
        <v>725.07174015580654</v>
      </c>
      <c r="T117" s="5">
        <f t="shared" si="11"/>
        <v>679.30226069443768</v>
      </c>
      <c r="U117" s="5"/>
      <c r="V117" s="7">
        <v>729.92862482581404</v>
      </c>
      <c r="W117" s="10"/>
      <c r="X117" s="5"/>
      <c r="Y117" s="2">
        <f t="shared" si="12"/>
        <v>26.764509071360841</v>
      </c>
      <c r="Z117" s="10">
        <f t="shared" si="10"/>
        <v>28.759187818137072</v>
      </c>
    </row>
    <row r="118" spans="1:26" x14ac:dyDescent="0.3">
      <c r="A118" s="2">
        <v>2014</v>
      </c>
      <c r="B118">
        <v>790.31764793395996</v>
      </c>
      <c r="C118">
        <v>764.87612533569302</v>
      </c>
      <c r="D118">
        <v>754.42967414856003</v>
      </c>
      <c r="E118">
        <v>782.80921363830601</v>
      </c>
      <c r="F118">
        <v>886.721717834473</v>
      </c>
      <c r="G118">
        <v>999.72708511352505</v>
      </c>
      <c r="H118">
        <v>1197.7815551757801</v>
      </c>
      <c r="I118">
        <v>738.64968490600597</v>
      </c>
      <c r="J118">
        <v>1040.8777236938499</v>
      </c>
      <c r="K118">
        <v>843.61494445800804</v>
      </c>
      <c r="L118">
        <v>1005.6606750488299</v>
      </c>
      <c r="M118">
        <v>915.98826026916504</v>
      </c>
      <c r="N118">
        <v>923.04082489013695</v>
      </c>
      <c r="O118">
        <v>974.15183448791504</v>
      </c>
      <c r="P118">
        <v>846.90686416625999</v>
      </c>
      <c r="Q118">
        <v>614.71791648864701</v>
      </c>
      <c r="S118" s="5">
        <f t="shared" si="9"/>
        <v>880.01698422431969</v>
      </c>
      <c r="T118" s="5">
        <f t="shared" si="11"/>
        <v>877.14346014369062</v>
      </c>
      <c r="U118" s="5"/>
      <c r="V118" s="7">
        <v>833.18659317948504</v>
      </c>
      <c r="W118" s="10"/>
      <c r="X118" s="5"/>
      <c r="Y118" s="2">
        <f t="shared" si="12"/>
        <v>34.559452329661411</v>
      </c>
      <c r="Z118" s="10">
        <f t="shared" si="10"/>
        <v>32.827551771271708</v>
      </c>
    </row>
    <row r="119" spans="1:26" x14ac:dyDescent="0.3">
      <c r="A119" s="2">
        <v>2015</v>
      </c>
      <c r="B119">
        <v>758.55476570129395</v>
      </c>
      <c r="C119">
        <v>724.90568923950195</v>
      </c>
      <c r="D119">
        <v>693.47322654724098</v>
      </c>
      <c r="E119">
        <v>685.94582080841099</v>
      </c>
      <c r="F119">
        <v>770.93371963500999</v>
      </c>
      <c r="G119">
        <v>841.98369979858398</v>
      </c>
      <c r="H119">
        <v>992.71916961669899</v>
      </c>
      <c r="I119">
        <v>531.69296646118198</v>
      </c>
      <c r="J119">
        <v>802.726011276245</v>
      </c>
      <c r="K119">
        <v>626.50364303588901</v>
      </c>
      <c r="L119">
        <v>775.24798107147205</v>
      </c>
      <c r="M119">
        <v>664.12555313110397</v>
      </c>
      <c r="N119">
        <v>741.99089908599899</v>
      </c>
      <c r="O119">
        <v>715.32533264160202</v>
      </c>
      <c r="P119">
        <v>651.83901786804199</v>
      </c>
      <c r="Q119">
        <v>446.82461357116699</v>
      </c>
      <c r="S119" s="5">
        <f t="shared" si="9"/>
        <v>714.04950684309006</v>
      </c>
      <c r="T119" s="5">
        <f t="shared" si="11"/>
        <v>670.83994969694891</v>
      </c>
      <c r="U119" s="5"/>
      <c r="V119" s="7">
        <v>684.19314625833294</v>
      </c>
      <c r="W119" s="10"/>
      <c r="X119" s="5"/>
      <c r="Y119" s="2">
        <f t="shared" si="12"/>
        <v>26.431094018059785</v>
      </c>
      <c r="Z119" s="10">
        <f t="shared" si="10"/>
        <v>26.957209962578315</v>
      </c>
    </row>
    <row r="120" spans="1:26" x14ac:dyDescent="0.3">
      <c r="A120" s="2">
        <v>2016</v>
      </c>
      <c r="B120">
        <v>720.30139195919003</v>
      </c>
      <c r="C120">
        <v>691.03354969620705</v>
      </c>
      <c r="D120">
        <v>672.66925843339402</v>
      </c>
      <c r="E120">
        <v>695.60813116654799</v>
      </c>
      <c r="F120">
        <v>808.02534013986599</v>
      </c>
      <c r="G120">
        <v>915.36064547300305</v>
      </c>
      <c r="H120">
        <v>1123.7290710806799</v>
      </c>
      <c r="I120">
        <v>622.85517704486801</v>
      </c>
      <c r="J120">
        <v>805.32352066040005</v>
      </c>
      <c r="K120">
        <v>752.025292575359</v>
      </c>
      <c r="L120">
        <v>882.56004500389099</v>
      </c>
      <c r="M120">
        <v>824.52539539337204</v>
      </c>
      <c r="N120">
        <v>867.02746438980103</v>
      </c>
      <c r="O120">
        <v>832.32295966148399</v>
      </c>
      <c r="P120">
        <v>810.15794571861602</v>
      </c>
      <c r="Q120">
        <v>531.97255444526695</v>
      </c>
      <c r="S120" s="5">
        <f t="shared" si="9"/>
        <v>784.71860892762163</v>
      </c>
      <c r="T120" s="5">
        <f t="shared" si="11"/>
        <v>770.18565573789294</v>
      </c>
      <c r="U120" s="5"/>
      <c r="V120" s="7">
        <v>752.51116517499997</v>
      </c>
      <c r="W120" s="10"/>
      <c r="X120" s="5"/>
      <c r="Y120" s="2">
        <f t="shared" si="12"/>
        <v>30.34531483607298</v>
      </c>
      <c r="Z120" s="10">
        <f t="shared" si="10"/>
        <v>29.648939907894999</v>
      </c>
    </row>
    <row r="121" spans="1:26" x14ac:dyDescent="0.3">
      <c r="A121" s="2">
        <v>2017</v>
      </c>
      <c r="B121">
        <v>1007.98576831818</v>
      </c>
      <c r="C121">
        <v>971.56981563568104</v>
      </c>
      <c r="D121">
        <v>948.03483152389504</v>
      </c>
      <c r="E121">
        <v>965.11481761932396</v>
      </c>
      <c r="F121">
        <v>1095.44152450562</v>
      </c>
      <c r="G121">
        <v>1220.7846946716299</v>
      </c>
      <c r="H121">
        <v>1475.1600856780999</v>
      </c>
      <c r="I121">
        <v>901.45402193069503</v>
      </c>
      <c r="J121">
        <v>1186.3075819015501</v>
      </c>
      <c r="K121">
        <v>1089.9093608856199</v>
      </c>
      <c r="L121">
        <v>1356.7822942733801</v>
      </c>
      <c r="M121">
        <v>1038.39243221283</v>
      </c>
      <c r="N121">
        <v>1278.1889128685</v>
      </c>
      <c r="O121">
        <v>1106.31886672974</v>
      </c>
      <c r="P121">
        <v>1068.8268632888801</v>
      </c>
      <c r="Q121">
        <v>684.00173091888405</v>
      </c>
      <c r="S121" s="5">
        <f t="shared" si="9"/>
        <v>1087.1421001851568</v>
      </c>
      <c r="T121" s="5">
        <f t="shared" si="11"/>
        <v>1072.358082915855</v>
      </c>
      <c r="U121" s="5"/>
      <c r="V121" s="7">
        <v>1016.47076879167</v>
      </c>
      <c r="W121" s="10"/>
      <c r="X121" s="5"/>
      <c r="Y121" s="2">
        <f t="shared" si="12"/>
        <v>42.250908466884681</v>
      </c>
      <c r="Z121" s="10">
        <f t="shared" si="10"/>
        <v>40.048948290391799</v>
      </c>
    </row>
    <row r="122" spans="1:26" x14ac:dyDescent="0.3">
      <c r="A122" s="2">
        <v>2018</v>
      </c>
      <c r="B122">
        <v>499.36256569623998</v>
      </c>
      <c r="C122">
        <v>491.98546916246403</v>
      </c>
      <c r="D122">
        <v>488.12981888651802</v>
      </c>
      <c r="E122">
        <v>521.83008527755703</v>
      </c>
      <c r="F122">
        <v>628.54808866977703</v>
      </c>
      <c r="G122">
        <v>723.030348181725</v>
      </c>
      <c r="H122">
        <v>869.28742384910595</v>
      </c>
      <c r="I122">
        <v>443.85358190536499</v>
      </c>
      <c r="J122">
        <v>687.66768264770496</v>
      </c>
      <c r="K122">
        <v>529.87845718860603</v>
      </c>
      <c r="L122">
        <v>706.31171309948002</v>
      </c>
      <c r="M122">
        <v>542.13492584228504</v>
      </c>
      <c r="N122">
        <v>556.637478709221</v>
      </c>
      <c r="O122">
        <v>531.20255899429299</v>
      </c>
      <c r="P122">
        <v>497.47780239582102</v>
      </c>
      <c r="Q122">
        <v>352.28877615928599</v>
      </c>
      <c r="S122" s="5">
        <f t="shared" si="9"/>
        <v>566.85167354159057</v>
      </c>
      <c r="T122" s="5">
        <f t="shared" si="11"/>
        <v>550.04200095519377</v>
      </c>
      <c r="U122" s="5"/>
      <c r="V122" s="7">
        <v>541.61592388333304</v>
      </c>
      <c r="W122" s="10"/>
      <c r="X122" s="5"/>
      <c r="Y122" s="2">
        <f t="shared" si="12"/>
        <v>21.671654837634634</v>
      </c>
      <c r="Z122" s="10">
        <f t="shared" si="10"/>
        <v>21.339667401003322</v>
      </c>
    </row>
    <row r="123" spans="1:26" x14ac:dyDescent="0.3">
      <c r="A123" s="2">
        <v>2019</v>
      </c>
      <c r="B123">
        <v>1069.5233500003801</v>
      </c>
      <c r="C123">
        <v>1050.37836098671</v>
      </c>
      <c r="D123">
        <v>1012.20401668549</v>
      </c>
      <c r="E123">
        <v>1019.81526124477</v>
      </c>
      <c r="F123">
        <v>1162.2856163978599</v>
      </c>
      <c r="G123">
        <v>1293.9809160232501</v>
      </c>
      <c r="H123">
        <v>1494.78690290451</v>
      </c>
      <c r="I123">
        <v>737.28234100341797</v>
      </c>
      <c r="J123">
        <v>856.89869451522804</v>
      </c>
      <c r="K123">
        <v>870.37506580352795</v>
      </c>
      <c r="L123">
        <v>1000.40992736816</v>
      </c>
      <c r="M123">
        <v>925.27906799316395</v>
      </c>
      <c r="N123">
        <v>1099.63087654114</v>
      </c>
      <c r="O123">
        <v>1023.68144226074</v>
      </c>
      <c r="P123">
        <v>948.53956270217896</v>
      </c>
      <c r="Q123">
        <v>591.47695684432995</v>
      </c>
      <c r="S123" s="5">
        <f t="shared" si="9"/>
        <v>1009.7842724546786</v>
      </c>
      <c r="T123" s="5">
        <f t="shared" si="11"/>
        <v>911.48105657641054</v>
      </c>
      <c r="U123" s="5"/>
      <c r="V123" s="7">
        <v>988.33227676154695</v>
      </c>
      <c r="W123" s="10"/>
      <c r="X123" s="5"/>
      <c r="Y123" s="2">
        <f t="shared" si="12"/>
        <v>35.912353629110569</v>
      </c>
      <c r="Z123" s="10">
        <f t="shared" si="10"/>
        <v>38.940291704404949</v>
      </c>
    </row>
    <row r="124" spans="1:26" x14ac:dyDescent="0.3">
      <c r="A124" s="2">
        <v>2020</v>
      </c>
      <c r="B124">
        <v>601.70141720771801</v>
      </c>
      <c r="C124">
        <v>573.11303615570102</v>
      </c>
      <c r="D124">
        <v>555.815095990896</v>
      </c>
      <c r="E124">
        <v>585.54522997140896</v>
      </c>
      <c r="F124">
        <v>705.787292122841</v>
      </c>
      <c r="G124">
        <v>815.96488857269298</v>
      </c>
      <c r="H124">
        <v>1000.14829501847</v>
      </c>
      <c r="I124">
        <v>511.70819187164301</v>
      </c>
      <c r="J124">
        <v>762.45705521106697</v>
      </c>
      <c r="K124">
        <v>632.62445116043102</v>
      </c>
      <c r="L124">
        <v>824.91158199310303</v>
      </c>
      <c r="M124">
        <v>639.90196418762196</v>
      </c>
      <c r="N124">
        <v>631.19987821579002</v>
      </c>
      <c r="O124">
        <v>659.34249734878495</v>
      </c>
      <c r="P124">
        <v>613.49677324294998</v>
      </c>
      <c r="Q124">
        <v>379.65755176544201</v>
      </c>
      <c r="S124" s="5">
        <f t="shared" si="9"/>
        <v>655.83595000228513</v>
      </c>
      <c r="T124" s="5">
        <f t="shared" si="11"/>
        <v>639.9331592089211</v>
      </c>
      <c r="U124" s="5"/>
      <c r="V124" s="7">
        <v>856.81071080509196</v>
      </c>
      <c r="W124" s="10"/>
      <c r="X124" s="5"/>
      <c r="Y124" s="2">
        <f t="shared" si="12"/>
        <v>25.213366472831488</v>
      </c>
      <c r="Z124" s="10">
        <f t="shared" si="10"/>
        <v>33.758342005720621</v>
      </c>
    </row>
    <row r="125" spans="1:26" x14ac:dyDescent="0.3">
      <c r="A125" s="2">
        <v>2021</v>
      </c>
      <c r="B125">
        <v>628.56857299804699</v>
      </c>
      <c r="C125">
        <v>605.85037183761597</v>
      </c>
      <c r="D125">
        <v>599.599865913391</v>
      </c>
      <c r="E125">
        <v>628.18393182754505</v>
      </c>
      <c r="F125">
        <v>706.32935619354203</v>
      </c>
      <c r="G125">
        <v>773.52093219757103</v>
      </c>
      <c r="H125">
        <v>914.70034503936802</v>
      </c>
      <c r="I125">
        <v>455.14240550994901</v>
      </c>
      <c r="J125">
        <v>667.03183221817005</v>
      </c>
      <c r="K125">
        <v>506.77356004715</v>
      </c>
      <c r="L125">
        <v>651.06089258194004</v>
      </c>
      <c r="M125">
        <v>679.19478225707996</v>
      </c>
      <c r="N125">
        <v>507.33236169815098</v>
      </c>
      <c r="O125">
        <v>682.85796737670898</v>
      </c>
      <c r="P125">
        <v>530.28028011321999</v>
      </c>
      <c r="Q125">
        <v>437.47641468048101</v>
      </c>
      <c r="S125" s="5">
        <f t="shared" si="9"/>
        <v>623.36899203062057</v>
      </c>
      <c r="T125" s="5">
        <f t="shared" si="11"/>
        <v>589.88433789244618</v>
      </c>
      <c r="U125" s="5"/>
      <c r="V125" s="7">
        <v>758.16953633775097</v>
      </c>
      <c r="W125" s="10"/>
      <c r="X125" s="5"/>
      <c r="Y125" s="2">
        <f t="shared" si="12"/>
        <v>23.241442912962377</v>
      </c>
      <c r="Z125" s="10">
        <f t="shared" si="10"/>
        <v>29.871879731707388</v>
      </c>
    </row>
    <row r="126" spans="1:26" x14ac:dyDescent="0.3">
      <c r="A126" s="2">
        <v>2022</v>
      </c>
      <c r="B126">
        <v>766.27130794525101</v>
      </c>
      <c r="C126">
        <v>749.393591880798</v>
      </c>
      <c r="D126">
        <v>743.57972145080601</v>
      </c>
      <c r="E126">
        <v>778.72900009155296</v>
      </c>
      <c r="F126">
        <v>879.58891487121605</v>
      </c>
      <c r="G126">
        <v>948.38361549377396</v>
      </c>
      <c r="H126">
        <v>1129.59902381897</v>
      </c>
      <c r="I126">
        <v>602.16879653930698</v>
      </c>
      <c r="J126">
        <v>750.54054093360901</v>
      </c>
      <c r="K126">
        <v>680.58540606498696</v>
      </c>
      <c r="L126">
        <v>833.53574204444897</v>
      </c>
      <c r="M126">
        <v>841.31382560730003</v>
      </c>
      <c r="N126">
        <v>771.92235386371601</v>
      </c>
      <c r="O126">
        <v>810.81423568725597</v>
      </c>
      <c r="P126">
        <v>730.10666775703396</v>
      </c>
      <c r="Q126">
        <v>564.65919113159202</v>
      </c>
      <c r="S126" s="5">
        <f>AVERAGE(B126:Q126)</f>
        <v>786.32449594885111</v>
      </c>
      <c r="T126" s="5">
        <f t="shared" si="11"/>
        <v>747.18060124115743</v>
      </c>
      <c r="U126" s="5"/>
      <c r="V126" s="7">
        <v>675.96855761496602</v>
      </c>
      <c r="W126" s="10"/>
      <c r="X126" s="5"/>
      <c r="Y126" s="2">
        <f t="shared" si="12"/>
        <v>29.438915688901602</v>
      </c>
      <c r="Z126" s="10">
        <f t="shared" si="10"/>
        <v>26.633161170029659</v>
      </c>
    </row>
    <row r="127" spans="1:26" x14ac:dyDescent="0.3">
      <c r="A127" s="2">
        <v>2023</v>
      </c>
      <c r="B127">
        <v>1039.0969262123101</v>
      </c>
      <c r="C127">
        <v>995.82240724563599</v>
      </c>
      <c r="D127">
        <v>961.98398590087902</v>
      </c>
      <c r="E127">
        <v>1000.9538850784299</v>
      </c>
      <c r="F127">
        <v>1184.12990665436</v>
      </c>
      <c r="G127">
        <v>1409.2181224823</v>
      </c>
      <c r="H127">
        <v>1747.0072574615499</v>
      </c>
      <c r="I127">
        <v>837.81531143188499</v>
      </c>
      <c r="J127">
        <v>947.91858291625999</v>
      </c>
      <c r="K127">
        <v>973.10326004028298</v>
      </c>
      <c r="L127">
        <v>1227.20202445984</v>
      </c>
      <c r="M127">
        <v>993.24441623687699</v>
      </c>
      <c r="N127">
        <v>1161.5114116668699</v>
      </c>
      <c r="O127">
        <v>1049.7933692932099</v>
      </c>
      <c r="P127">
        <v>1040.7986135482799</v>
      </c>
      <c r="Q127">
        <v>680.80132961273205</v>
      </c>
      <c r="S127" s="5">
        <f>AVERAGE(B127:Q127)</f>
        <v>1078.1500506401064</v>
      </c>
      <c r="T127" s="5">
        <f t="shared" si="11"/>
        <v>1007.6836911224166</v>
      </c>
      <c r="U127" s="5"/>
      <c r="V127" s="7">
        <v>1241.51129122772</v>
      </c>
      <c r="W127" s="10"/>
      <c r="X127" s="5"/>
      <c r="Y127" s="2">
        <f t="shared" si="12"/>
        <v>39.702737430223209</v>
      </c>
      <c r="Z127" s="10">
        <f t="shared" si="10"/>
        <v>48.915544874372166</v>
      </c>
    </row>
    <row r="128" spans="1:26" x14ac:dyDescent="0.3">
      <c r="A128" s="2">
        <v>2024</v>
      </c>
      <c r="B128">
        <v>894.43360328674305</v>
      </c>
      <c r="C128">
        <v>847.35690975189198</v>
      </c>
      <c r="D128">
        <v>820.77048158645596</v>
      </c>
      <c r="E128">
        <v>832.76720762252796</v>
      </c>
      <c r="F128">
        <v>949.10321974754299</v>
      </c>
      <c r="G128">
        <v>1064.4299793243399</v>
      </c>
      <c r="H128">
        <v>1313.9948828220399</v>
      </c>
      <c r="I128">
        <v>645.87167787551903</v>
      </c>
      <c r="J128">
        <v>719.86090469360397</v>
      </c>
      <c r="K128">
        <v>748.08064126968395</v>
      </c>
      <c r="L128">
        <v>922.80652427673294</v>
      </c>
      <c r="M128">
        <v>779.66898632049595</v>
      </c>
      <c r="N128">
        <v>870.05345344543503</v>
      </c>
      <c r="O128">
        <v>812.79482746124302</v>
      </c>
      <c r="P128">
        <v>799.58239126205399</v>
      </c>
      <c r="Q128">
        <v>533.26548814773605</v>
      </c>
      <c r="S128" s="5">
        <f t="shared" si="9"/>
        <v>847.1775736808778</v>
      </c>
      <c r="T128" s="5">
        <f t="shared" si="11"/>
        <v>777.7140649658046</v>
      </c>
      <c r="U128" s="5"/>
      <c r="V128" s="5"/>
      <c r="W128" s="10"/>
      <c r="X128" s="5"/>
      <c r="Y128" s="2">
        <f t="shared" si="12"/>
        <v>30.641934159652699</v>
      </c>
      <c r="Z128" s="10"/>
    </row>
    <row r="129" spans="1:26" x14ac:dyDescent="0.3">
      <c r="A129" s="2">
        <v>2025</v>
      </c>
      <c r="B129">
        <v>664.20854723453499</v>
      </c>
      <c r="C129">
        <v>634.42588341236103</v>
      </c>
      <c r="D129">
        <v>624.158881425858</v>
      </c>
      <c r="E129">
        <v>638.78547871112801</v>
      </c>
      <c r="F129">
        <v>727.61424005031597</v>
      </c>
      <c r="G129">
        <v>810.27198565006302</v>
      </c>
      <c r="H129">
        <v>1015.50836539268</v>
      </c>
      <c r="I129">
        <v>513.17239987850201</v>
      </c>
      <c r="J129">
        <v>697.26535892486595</v>
      </c>
      <c r="K129">
        <v>600.24004662036896</v>
      </c>
      <c r="L129">
        <v>760.13486918061994</v>
      </c>
      <c r="M129">
        <v>656.30039024353005</v>
      </c>
      <c r="N129">
        <v>677.69451665878296</v>
      </c>
      <c r="O129">
        <v>671.06368017196701</v>
      </c>
      <c r="P129">
        <v>636.83662354946102</v>
      </c>
      <c r="Q129">
        <v>432.20018893852802</v>
      </c>
      <c r="S129" s="5">
        <f t="shared" si="9"/>
        <v>672.49259100272286</v>
      </c>
      <c r="T129" s="5">
        <f t="shared" si="11"/>
        <v>638.20827302962266</v>
      </c>
      <c r="U129" s="4"/>
      <c r="V129" s="5"/>
      <c r="W129" s="5"/>
      <c r="X129" s="5"/>
      <c r="Y129" s="2">
        <f t="shared" si="12"/>
        <v>25.145405957367132</v>
      </c>
      <c r="Z129" s="10"/>
    </row>
    <row r="132" spans="1:26" x14ac:dyDescent="0.3">
      <c r="Y132" s="7"/>
    </row>
  </sheetData>
  <mergeCells count="4">
    <mergeCell ref="S1:S4"/>
    <mergeCell ref="B1:H1"/>
    <mergeCell ref="I1:N1"/>
    <mergeCell ref="O1:Q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20D7-72E2-A14C-B418-66B8718C2AE0}">
  <dimension ref="A1:Z179"/>
  <sheetViews>
    <sheetView tabSelected="1" zoomScale="75" workbookViewId="0">
      <selection activeCell="S129" sqref="S129"/>
    </sheetView>
  </sheetViews>
  <sheetFormatPr defaultColWidth="10.796875" defaultRowHeight="15.6" x14ac:dyDescent="0.3"/>
  <cols>
    <col min="1" max="1" width="13" style="2" bestFit="1" customWidth="1"/>
    <col min="2" max="4" width="10.796875" style="2"/>
    <col min="5" max="5" width="11" style="2" customWidth="1"/>
    <col min="6" max="6" width="10.796875" style="2"/>
    <col min="7" max="7" width="11" style="2" customWidth="1"/>
    <col min="8" max="8" width="10.796875" style="2"/>
    <col min="9" max="15" width="11" style="2" customWidth="1"/>
    <col min="16" max="17" width="10.796875" style="2"/>
    <col min="18" max="18" width="14.796875" style="2" bestFit="1" customWidth="1"/>
    <col min="19" max="19" width="30.296875" style="2" customWidth="1"/>
    <col min="20" max="20" width="20.296875" style="2" bestFit="1" customWidth="1"/>
    <col min="21" max="21" width="20.296875" style="2" customWidth="1"/>
    <col min="22" max="24" width="10.796875" style="2"/>
    <col min="25" max="25" width="11.69921875" style="2" bestFit="1" customWidth="1"/>
    <col min="26" max="16384" width="10.796875" style="2"/>
  </cols>
  <sheetData>
    <row r="1" spans="1:26" x14ac:dyDescent="0.3">
      <c r="B1" s="31" t="s">
        <v>16</v>
      </c>
      <c r="C1" s="31"/>
      <c r="D1" s="31"/>
      <c r="E1" s="31"/>
      <c r="F1" s="31"/>
      <c r="G1" s="31"/>
      <c r="H1" s="31"/>
      <c r="I1" s="31" t="s">
        <v>17</v>
      </c>
      <c r="J1" s="31"/>
      <c r="K1" s="31"/>
      <c r="L1" s="31"/>
      <c r="M1" s="31"/>
      <c r="N1" s="31"/>
      <c r="O1" s="31" t="s">
        <v>18</v>
      </c>
      <c r="P1" s="31"/>
      <c r="Q1" s="31"/>
      <c r="R1" s="2" t="s">
        <v>24</v>
      </c>
      <c r="S1" s="30" t="s">
        <v>33</v>
      </c>
      <c r="T1" s="1"/>
      <c r="U1" s="1"/>
    </row>
    <row r="2" spans="1:26" x14ac:dyDescent="0.3">
      <c r="A2" s="2" t="s">
        <v>19</v>
      </c>
      <c r="B2" s="3">
        <v>45736780000000</v>
      </c>
      <c r="C2" s="3">
        <v>18702910000000</v>
      </c>
      <c r="D2" s="3">
        <v>47524750000000</v>
      </c>
      <c r="E2" s="3">
        <v>134171300000000</v>
      </c>
      <c r="F2" s="3">
        <v>56157330000000</v>
      </c>
      <c r="G2" s="3">
        <v>129152700000000</v>
      </c>
      <c r="H2" s="3">
        <v>70686060000000</v>
      </c>
      <c r="I2" s="3">
        <v>131276500000000</v>
      </c>
      <c r="J2" s="3">
        <v>423253600000000</v>
      </c>
      <c r="K2" s="3">
        <v>680367800000000</v>
      </c>
      <c r="L2" s="3">
        <v>554497600000000</v>
      </c>
      <c r="M2" s="3">
        <v>451295900000000</v>
      </c>
      <c r="N2" s="3">
        <v>160663000000000</v>
      </c>
      <c r="O2" s="3">
        <v>420030100000000</v>
      </c>
      <c r="P2" s="3">
        <v>355771100000000</v>
      </c>
      <c r="Q2" s="3">
        <v>643761000000000</v>
      </c>
      <c r="R2" s="8">
        <f>SUM(B2:Q2)</f>
        <v>4323048430000000</v>
      </c>
      <c r="S2" s="30"/>
      <c r="T2" s="1"/>
      <c r="U2" s="1"/>
      <c r="Y2" s="2" t="s">
        <v>22</v>
      </c>
    </row>
    <row r="3" spans="1:26" x14ac:dyDescent="0.3">
      <c r="A3" s="2" t="s">
        <v>44</v>
      </c>
      <c r="B3" s="6">
        <f>B2/$R$2</f>
        <v>1.0579751936760052E-2</v>
      </c>
      <c r="C3" s="6">
        <f>C2/$R$2</f>
        <v>4.3263244219542548E-3</v>
      </c>
      <c r="D3" s="6">
        <f>D2/$R$2</f>
        <v>1.0993342029249484E-2</v>
      </c>
      <c r="E3" s="6">
        <f t="shared" ref="E3:Q3" si="0">E2/$R$2</f>
        <v>3.1036270394037661E-2</v>
      </c>
      <c r="F3" s="6">
        <f t="shared" si="0"/>
        <v>1.299021533284095E-2</v>
      </c>
      <c r="G3" s="6">
        <f t="shared" si="0"/>
        <v>2.9875376621677125E-2</v>
      </c>
      <c r="H3" s="6">
        <f t="shared" si="0"/>
        <v>1.635097573958939E-2</v>
      </c>
      <c r="I3" s="6">
        <f t="shared" si="0"/>
        <v>3.0366650322258822E-2</v>
      </c>
      <c r="J3" s="6">
        <f t="shared" si="0"/>
        <v>9.7906282303665979E-2</v>
      </c>
      <c r="K3" s="6">
        <f t="shared" si="0"/>
        <v>0.15738148924692941</v>
      </c>
      <c r="L3" s="6">
        <f t="shared" si="0"/>
        <v>0.12826541478278095</v>
      </c>
      <c r="M3" s="6">
        <f t="shared" si="0"/>
        <v>0.10439297808190412</v>
      </c>
      <c r="N3" s="6">
        <f t="shared" si="0"/>
        <v>3.7164284092926526E-2</v>
      </c>
      <c r="O3" s="6">
        <f t="shared" si="0"/>
        <v>9.7160627922921516E-2</v>
      </c>
      <c r="P3" s="6">
        <f t="shared" si="0"/>
        <v>8.2296348458904489E-2</v>
      </c>
      <c r="Q3" s="6">
        <f t="shared" si="0"/>
        <v>0.14891366831159927</v>
      </c>
      <c r="R3" s="8"/>
      <c r="S3" s="30"/>
      <c r="T3" s="1"/>
      <c r="U3" s="1"/>
    </row>
    <row r="4" spans="1:26" x14ac:dyDescent="0.3">
      <c r="B4" s="2" t="s">
        <v>0</v>
      </c>
      <c r="C4" s="2" t="s">
        <v>1</v>
      </c>
      <c r="D4" s="2" t="s">
        <v>2</v>
      </c>
      <c r="E4" s="2" t="s">
        <v>3</v>
      </c>
      <c r="F4" s="2" t="s">
        <v>4</v>
      </c>
      <c r="G4" s="2" t="s">
        <v>5</v>
      </c>
      <c r="H4" s="2" t="s">
        <v>6</v>
      </c>
      <c r="I4" s="2" t="s">
        <v>7</v>
      </c>
      <c r="J4" s="2" t="s">
        <v>8</v>
      </c>
      <c r="K4" s="2" t="s">
        <v>9</v>
      </c>
      <c r="L4" s="2" t="s">
        <v>10</v>
      </c>
      <c r="M4" s="2" t="s">
        <v>11</v>
      </c>
      <c r="N4" s="2" t="s">
        <v>12</v>
      </c>
      <c r="O4" s="2" t="s">
        <v>13</v>
      </c>
      <c r="P4" s="2" t="s">
        <v>14</v>
      </c>
      <c r="Q4" s="2" t="s">
        <v>15</v>
      </c>
      <c r="R4" s="8"/>
      <c r="S4" s="30"/>
      <c r="T4" s="2" t="s">
        <v>20</v>
      </c>
      <c r="V4" s="2" t="s">
        <v>47</v>
      </c>
      <c r="Y4" s="2" t="s">
        <v>46</v>
      </c>
      <c r="Z4" s="2" t="s">
        <v>26</v>
      </c>
    </row>
    <row r="5" spans="1:26" x14ac:dyDescent="0.3">
      <c r="A5" s="2">
        <v>1901</v>
      </c>
      <c r="B5">
        <v>863.97423684163903</v>
      </c>
      <c r="C5">
        <v>824.29724377948799</v>
      </c>
      <c r="D5">
        <v>801.02844731193704</v>
      </c>
      <c r="E5">
        <v>832.86914905119295</v>
      </c>
      <c r="F5">
        <v>1028.07711006822</v>
      </c>
      <c r="G5">
        <v>1214.6735798816301</v>
      </c>
      <c r="H5">
        <v>1583.41337778764</v>
      </c>
      <c r="I5">
        <v>554.29867758357102</v>
      </c>
      <c r="J5">
        <v>783.41867683230998</v>
      </c>
      <c r="K5">
        <v>670.81242773055305</v>
      </c>
      <c r="L5">
        <v>871.18116601222903</v>
      </c>
      <c r="M5">
        <v>916.98917257335097</v>
      </c>
      <c r="N5">
        <v>896.93841342435303</v>
      </c>
      <c r="O5">
        <v>1047.78979137836</v>
      </c>
      <c r="P5">
        <v>823.54081876652299</v>
      </c>
      <c r="Q5">
        <v>570.15253881666899</v>
      </c>
      <c r="R5" s="8"/>
      <c r="S5" s="5">
        <f>AVERAGE(B5:Q5)</f>
        <v>892.71592673997907</v>
      </c>
      <c r="T5" s="5">
        <f t="shared" ref="T5:T36" si="1">(B5*$B$3)+(C5*$C$3)+(D5*$D$3)+(E5*$E$3)+(F5*$F$3)+(G5*$G$3)+(H5*$H$3)+(I5*$I$3)+(J5*$J$3)+(K5*$K$3)+(L5*$L$3)+(M5*$M$3)+(N5*$N$3)+(O5*$O$3)+(P5*$P$3)+(Q5*$Q$3)</f>
        <v>817.28887330004852</v>
      </c>
      <c r="U5" s="5"/>
      <c r="V5" s="7">
        <v>1024.65588876484</v>
      </c>
      <c r="W5" s="10"/>
      <c r="X5" s="4"/>
      <c r="Y5" s="7">
        <f t="shared" ref="Y5:Y36" si="2">T5*0.0394</f>
        <v>32.201181608021912</v>
      </c>
      <c r="Z5" s="10">
        <f>V5*0.0394</f>
        <v>40.371442017334694</v>
      </c>
    </row>
    <row r="6" spans="1:26" x14ac:dyDescent="0.3">
      <c r="A6" s="2">
        <v>1902</v>
      </c>
      <c r="B6">
        <v>704.87027357111901</v>
      </c>
      <c r="C6">
        <v>652.85724862366203</v>
      </c>
      <c r="D6">
        <v>625.416931448676</v>
      </c>
      <c r="E6">
        <v>625.17993303175501</v>
      </c>
      <c r="F6">
        <v>732.611563074316</v>
      </c>
      <c r="G6">
        <v>821.15465677410498</v>
      </c>
      <c r="H6">
        <v>1037.74532657645</v>
      </c>
      <c r="I6">
        <v>455.17246588202602</v>
      </c>
      <c r="J6">
        <v>516.20574141459701</v>
      </c>
      <c r="K6">
        <v>532.84293608153405</v>
      </c>
      <c r="L6">
        <v>651.14030335326402</v>
      </c>
      <c r="M6">
        <v>673.37530474595997</v>
      </c>
      <c r="N6">
        <v>703.36685208613301</v>
      </c>
      <c r="O6">
        <v>778.95489371318604</v>
      </c>
      <c r="P6">
        <v>628.46951940901204</v>
      </c>
      <c r="Q6">
        <v>434.556454425879</v>
      </c>
      <c r="R6" s="8"/>
      <c r="S6" s="5">
        <f t="shared" ref="S6:S69" si="3">AVERAGE(B6:Q6)</f>
        <v>660.87002526322976</v>
      </c>
      <c r="T6" s="5">
        <f t="shared" si="1"/>
        <v>607.86964772043461</v>
      </c>
      <c r="U6" s="5"/>
      <c r="V6" s="7">
        <v>745.86272040541701</v>
      </c>
      <c r="W6" s="10"/>
      <c r="X6" s="5"/>
      <c r="Y6" s="7">
        <f t="shared" si="2"/>
        <v>23.950064120185122</v>
      </c>
      <c r="Z6" s="10">
        <f t="shared" ref="Z6:Z69" si="4">V6*0.0394</f>
        <v>29.386991183973429</v>
      </c>
    </row>
    <row r="7" spans="1:26" x14ac:dyDescent="0.3">
      <c r="A7" s="2">
        <v>1903</v>
      </c>
      <c r="B7">
        <v>783.58117945866695</v>
      </c>
      <c r="C7">
        <v>741.72378213806803</v>
      </c>
      <c r="D7">
        <v>707.99294566251899</v>
      </c>
      <c r="E7">
        <v>719.60221219611799</v>
      </c>
      <c r="F7">
        <v>864.54747140172697</v>
      </c>
      <c r="G7">
        <v>1002.70792815606</v>
      </c>
      <c r="H7">
        <v>1318.9838328957401</v>
      </c>
      <c r="I7">
        <v>536.39811721140302</v>
      </c>
      <c r="J7">
        <v>586.21160851364095</v>
      </c>
      <c r="K7">
        <v>691.59386194872297</v>
      </c>
      <c r="L7">
        <v>841.44538272542104</v>
      </c>
      <c r="M7">
        <v>746.81331093146196</v>
      </c>
      <c r="N7">
        <v>923.63107780066798</v>
      </c>
      <c r="O7">
        <v>844.72922291540306</v>
      </c>
      <c r="P7">
        <v>800.54612644188296</v>
      </c>
      <c r="Q7">
        <v>481.99755020574599</v>
      </c>
      <c r="S7" s="5">
        <f t="shared" si="3"/>
        <v>787.031600662703</v>
      </c>
      <c r="T7" s="5">
        <f t="shared" si="1"/>
        <v>726.84506478465971</v>
      </c>
      <c r="U7" s="5"/>
      <c r="V7" s="7">
        <v>880.22200605170895</v>
      </c>
      <c r="W7" s="10"/>
      <c r="X7" s="5"/>
      <c r="Y7" s="7">
        <f t="shared" si="2"/>
        <v>28.637695552515591</v>
      </c>
      <c r="Z7" s="10">
        <f t="shared" si="4"/>
        <v>34.680747038437332</v>
      </c>
    </row>
    <row r="8" spans="1:26" x14ac:dyDescent="0.3">
      <c r="A8" s="2">
        <v>1904</v>
      </c>
      <c r="B8">
        <v>1085.6941035249299</v>
      </c>
      <c r="C8">
        <v>1021.42721806983</v>
      </c>
      <c r="D8">
        <v>983.18448757504405</v>
      </c>
      <c r="E8">
        <v>1025.33441599307</v>
      </c>
      <c r="F8">
        <v>1243.88167057794</v>
      </c>
      <c r="G8">
        <v>1477.9594293671701</v>
      </c>
      <c r="H8">
        <v>1809.75567953062</v>
      </c>
      <c r="I8">
        <v>655.79543872875297</v>
      </c>
      <c r="J8">
        <v>729.12070029322501</v>
      </c>
      <c r="K8">
        <v>793.18908051312405</v>
      </c>
      <c r="L8">
        <v>952.55171597703395</v>
      </c>
      <c r="M8">
        <v>1078.3794090142801</v>
      </c>
      <c r="N8">
        <v>1067.5315819832999</v>
      </c>
      <c r="O8">
        <v>1250.0730540382399</v>
      </c>
      <c r="P8">
        <v>971.06002527381395</v>
      </c>
      <c r="Q8">
        <v>683.163870517796</v>
      </c>
      <c r="S8" s="5">
        <f t="shared" si="3"/>
        <v>1051.7563675611354</v>
      </c>
      <c r="T8" s="5">
        <f t="shared" si="1"/>
        <v>942.10742358184348</v>
      </c>
      <c r="U8" s="5"/>
      <c r="V8" s="7">
        <v>1239.9848447202901</v>
      </c>
      <c r="W8" s="10"/>
      <c r="X8" s="5"/>
      <c r="Y8" s="7">
        <f t="shared" si="2"/>
        <v>37.119032489124628</v>
      </c>
      <c r="Z8" s="10">
        <f t="shared" si="4"/>
        <v>48.85540288197943</v>
      </c>
    </row>
    <row r="9" spans="1:26" x14ac:dyDescent="0.3">
      <c r="A9" s="2">
        <v>1905</v>
      </c>
      <c r="B9">
        <v>645.39509433377498</v>
      </c>
      <c r="C9">
        <v>610.36228562141901</v>
      </c>
      <c r="D9">
        <v>585.58662039418903</v>
      </c>
      <c r="E9">
        <v>586.086163698056</v>
      </c>
      <c r="F9">
        <v>668.67998592670597</v>
      </c>
      <c r="G9">
        <v>739.34428958401099</v>
      </c>
      <c r="H9">
        <v>911.424283084438</v>
      </c>
      <c r="I9">
        <v>476.60935253875198</v>
      </c>
      <c r="J9">
        <v>543.29100115754397</v>
      </c>
      <c r="K9">
        <v>518.27362582850606</v>
      </c>
      <c r="L9">
        <v>634.77360315825695</v>
      </c>
      <c r="M9">
        <v>608.76606463183805</v>
      </c>
      <c r="N9">
        <v>667.96329981616805</v>
      </c>
      <c r="O9">
        <v>668.85323100094899</v>
      </c>
      <c r="P9">
        <v>585.75738635681796</v>
      </c>
      <c r="Q9">
        <v>437.558960862059</v>
      </c>
      <c r="R9" s="8"/>
      <c r="S9" s="5">
        <f t="shared" si="3"/>
        <v>618.04532799959281</v>
      </c>
      <c r="T9" s="5">
        <f t="shared" si="1"/>
        <v>577.149880760629</v>
      </c>
      <c r="U9" s="5"/>
      <c r="V9" s="7">
        <v>619.50820797573999</v>
      </c>
      <c r="W9" s="10"/>
      <c r="X9" s="5"/>
      <c r="Y9" s="7">
        <f t="shared" si="2"/>
        <v>22.73970530196878</v>
      </c>
      <c r="Z9" s="10">
        <f t="shared" si="4"/>
        <v>24.408623394244152</v>
      </c>
    </row>
    <row r="10" spans="1:26" x14ac:dyDescent="0.3">
      <c r="A10" s="2">
        <v>1906</v>
      </c>
      <c r="B10">
        <v>928.233432853571</v>
      </c>
      <c r="C10">
        <v>883.50255375475399</v>
      </c>
      <c r="D10">
        <v>851.14556570000502</v>
      </c>
      <c r="E10">
        <v>863.66444559694901</v>
      </c>
      <c r="F10">
        <v>1019.0916939971301</v>
      </c>
      <c r="G10">
        <v>1137.81929702103</v>
      </c>
      <c r="H10">
        <v>1388.4030416665801</v>
      </c>
      <c r="I10">
        <v>646.86394789218696</v>
      </c>
      <c r="J10">
        <v>672.76641225521701</v>
      </c>
      <c r="K10">
        <v>708.91963395722803</v>
      </c>
      <c r="L10">
        <v>903.89775125013705</v>
      </c>
      <c r="M10">
        <v>926.49749544272504</v>
      </c>
      <c r="N10">
        <v>891.55161626806603</v>
      </c>
      <c r="O10">
        <v>1038.98106270826</v>
      </c>
      <c r="P10">
        <v>816.769155917126</v>
      </c>
      <c r="Q10">
        <v>654.148109231852</v>
      </c>
      <c r="S10" s="5">
        <f t="shared" si="3"/>
        <v>895.76595096955111</v>
      </c>
      <c r="T10" s="5">
        <f t="shared" si="1"/>
        <v>828.18867444065631</v>
      </c>
      <c r="U10" s="5"/>
      <c r="V10" s="7">
        <v>921.18518089348504</v>
      </c>
      <c r="W10" s="10"/>
      <c r="X10" s="5"/>
      <c r="Y10" s="7">
        <f t="shared" si="2"/>
        <v>32.630633772961858</v>
      </c>
      <c r="Z10" s="10">
        <f t="shared" si="4"/>
        <v>36.294696127203309</v>
      </c>
    </row>
    <row r="11" spans="1:26" x14ac:dyDescent="0.3">
      <c r="A11" s="2">
        <v>1907</v>
      </c>
      <c r="B11">
        <v>1113.7078258424799</v>
      </c>
      <c r="C11">
        <v>1064.5653733112299</v>
      </c>
      <c r="D11">
        <v>1017.53979118492</v>
      </c>
      <c r="E11">
        <v>1029.36710171547</v>
      </c>
      <c r="F11">
        <v>1224.2804228986099</v>
      </c>
      <c r="G11">
        <v>1425.61382439414</v>
      </c>
      <c r="H11">
        <v>1761.5691034208201</v>
      </c>
      <c r="I11">
        <v>754.53394899200498</v>
      </c>
      <c r="J11">
        <v>830.01098827220505</v>
      </c>
      <c r="K11">
        <v>947.97306842804505</v>
      </c>
      <c r="L11">
        <v>1172.9605141699601</v>
      </c>
      <c r="M11">
        <v>1115.43782869437</v>
      </c>
      <c r="N11">
        <v>1260.0786547888699</v>
      </c>
      <c r="O11">
        <v>1327.32361381495</v>
      </c>
      <c r="P11">
        <v>1093.42668555097</v>
      </c>
      <c r="Q11">
        <v>725.09511476034902</v>
      </c>
      <c r="S11" s="5">
        <f t="shared" si="3"/>
        <v>1116.4677412649619</v>
      </c>
      <c r="T11" s="5">
        <f t="shared" si="1"/>
        <v>1040.8387057661382</v>
      </c>
      <c r="U11" s="5"/>
      <c r="V11" s="7">
        <v>1130.4697060706301</v>
      </c>
      <c r="W11" s="10"/>
      <c r="X11" s="5"/>
      <c r="Y11" s="7">
        <f t="shared" si="2"/>
        <v>41.00904500718584</v>
      </c>
      <c r="Z11" s="10">
        <f t="shared" si="4"/>
        <v>44.540506419182826</v>
      </c>
    </row>
    <row r="12" spans="1:26" x14ac:dyDescent="0.3">
      <c r="A12" s="2">
        <v>1908</v>
      </c>
      <c r="B12">
        <v>874.48085174036999</v>
      </c>
      <c r="C12">
        <v>837.71820485507703</v>
      </c>
      <c r="D12">
        <v>807.09162317507503</v>
      </c>
      <c r="E12">
        <v>803.83602760408496</v>
      </c>
      <c r="F12">
        <v>899.42513916539997</v>
      </c>
      <c r="G12">
        <v>982.33252989648304</v>
      </c>
      <c r="H12">
        <v>1229.4789211023101</v>
      </c>
      <c r="I12">
        <v>610.17339867939597</v>
      </c>
      <c r="J12">
        <v>648.64238223920302</v>
      </c>
      <c r="K12">
        <v>697.36358811769298</v>
      </c>
      <c r="L12">
        <v>855.23025734227303</v>
      </c>
      <c r="M12">
        <v>909.34150704019805</v>
      </c>
      <c r="N12">
        <v>863.097520653478</v>
      </c>
      <c r="O12">
        <v>1030.74993014457</v>
      </c>
      <c r="P12">
        <v>794.117683109474</v>
      </c>
      <c r="Q12">
        <v>626.44668458965998</v>
      </c>
      <c r="S12" s="5">
        <f t="shared" si="3"/>
        <v>841.84539059092162</v>
      </c>
      <c r="T12" s="5">
        <f t="shared" si="1"/>
        <v>795.10790777041234</v>
      </c>
      <c r="U12" s="5"/>
      <c r="V12" s="7">
        <v>852.65731724461</v>
      </c>
      <c r="W12" s="10"/>
      <c r="X12" s="5"/>
      <c r="Y12" s="7">
        <f t="shared" si="2"/>
        <v>31.327251566154246</v>
      </c>
      <c r="Z12" s="10">
        <f t="shared" si="4"/>
        <v>33.594698299437631</v>
      </c>
    </row>
    <row r="13" spans="1:26" x14ac:dyDescent="0.3">
      <c r="A13" s="2">
        <v>1909</v>
      </c>
      <c r="B13">
        <v>1371.3917968851599</v>
      </c>
      <c r="C13">
        <v>1330.01421439298</v>
      </c>
      <c r="D13">
        <v>1301.3163265349699</v>
      </c>
      <c r="E13">
        <v>1328.6660218413999</v>
      </c>
      <c r="F13">
        <v>1512.9623250202101</v>
      </c>
      <c r="G13">
        <v>1747.4456884627</v>
      </c>
      <c r="H13">
        <v>2137.0320270201901</v>
      </c>
      <c r="I13">
        <v>855.94556918187004</v>
      </c>
      <c r="J13">
        <v>982.04931848755302</v>
      </c>
      <c r="K13">
        <v>1083.8991739880901</v>
      </c>
      <c r="L13">
        <v>1382.0893659147</v>
      </c>
      <c r="M13">
        <v>1266.5716184641601</v>
      </c>
      <c r="N13">
        <v>1417.05303948594</v>
      </c>
      <c r="O13">
        <v>1485.0087900768799</v>
      </c>
      <c r="P13">
        <v>1262.88896559402</v>
      </c>
      <c r="Q13">
        <v>799.89413015012894</v>
      </c>
      <c r="S13" s="5">
        <f t="shared" si="3"/>
        <v>1329.0142732188094</v>
      </c>
      <c r="T13" s="5">
        <f t="shared" si="1"/>
        <v>1204.8241552707839</v>
      </c>
      <c r="U13" s="5"/>
      <c r="V13" s="7">
        <v>1366.7203413943801</v>
      </c>
      <c r="W13" s="10"/>
      <c r="X13" s="5"/>
      <c r="Y13" s="7">
        <f t="shared" si="2"/>
        <v>47.47007171766888</v>
      </c>
      <c r="Z13" s="10">
        <f t="shared" si="4"/>
        <v>53.848781450938574</v>
      </c>
    </row>
    <row r="14" spans="1:26" x14ac:dyDescent="0.3">
      <c r="A14" s="2">
        <v>1910</v>
      </c>
      <c r="B14">
        <v>821.76383627252903</v>
      </c>
      <c r="C14">
        <v>761.43676198780099</v>
      </c>
      <c r="D14">
        <v>736.00065382832202</v>
      </c>
      <c r="E14">
        <v>754.77957970575005</v>
      </c>
      <c r="F14">
        <v>882.774911000153</v>
      </c>
      <c r="G14">
        <v>1018.8089524455499</v>
      </c>
      <c r="H14">
        <v>1270.95437952272</v>
      </c>
      <c r="I14">
        <v>556.62255100070399</v>
      </c>
      <c r="J14">
        <v>609.00200826251603</v>
      </c>
      <c r="K14">
        <v>670.80123560386801</v>
      </c>
      <c r="L14">
        <v>859.86566749881001</v>
      </c>
      <c r="M14">
        <v>782.43174985146698</v>
      </c>
      <c r="N14">
        <v>912.393616906327</v>
      </c>
      <c r="O14">
        <v>876.36001280495395</v>
      </c>
      <c r="P14">
        <v>822.09885788647603</v>
      </c>
      <c r="Q14">
        <v>503.92591258511402</v>
      </c>
      <c r="S14" s="5">
        <f t="shared" si="3"/>
        <v>802.50129294769135</v>
      </c>
      <c r="T14" s="5">
        <f t="shared" si="1"/>
        <v>742.01533597511366</v>
      </c>
      <c r="U14" s="5"/>
      <c r="V14" s="7">
        <v>811.74745964036504</v>
      </c>
      <c r="W14" s="10"/>
      <c r="X14" s="5"/>
      <c r="Y14" s="7">
        <f t="shared" si="2"/>
        <v>29.235404237419477</v>
      </c>
      <c r="Z14" s="10">
        <f t="shared" si="4"/>
        <v>31.982849909830382</v>
      </c>
    </row>
    <row r="15" spans="1:26" x14ac:dyDescent="0.3">
      <c r="A15" s="2">
        <v>1911</v>
      </c>
      <c r="B15">
        <v>1092.5136502791299</v>
      </c>
      <c r="C15">
        <v>1043.45061564599</v>
      </c>
      <c r="D15">
        <v>1006.52378501757</v>
      </c>
      <c r="E15">
        <v>1011.02083476724</v>
      </c>
      <c r="F15">
        <v>1148.14766182586</v>
      </c>
      <c r="G15">
        <v>1298.5952679557299</v>
      </c>
      <c r="H15">
        <v>1549.6614826063601</v>
      </c>
      <c r="I15">
        <v>675.27538560396295</v>
      </c>
      <c r="J15">
        <v>760.91841632476701</v>
      </c>
      <c r="K15">
        <v>915.53233940250095</v>
      </c>
      <c r="L15">
        <v>1166.8658586158499</v>
      </c>
      <c r="M15">
        <v>1034.0092061201001</v>
      </c>
      <c r="N15">
        <v>1157.8117055436201</v>
      </c>
      <c r="O15">
        <v>1235.1489203932499</v>
      </c>
      <c r="P15">
        <v>1001.26455617902</v>
      </c>
      <c r="Q15">
        <v>666.57993244455099</v>
      </c>
      <c r="S15" s="5">
        <f t="shared" si="3"/>
        <v>1047.7074761703439</v>
      </c>
      <c r="T15" s="5">
        <f t="shared" si="1"/>
        <v>978.96998006561535</v>
      </c>
      <c r="U15" s="5"/>
      <c r="V15" s="7">
        <v>1056.5775932828201</v>
      </c>
      <c r="W15" s="10"/>
      <c r="X15" s="5"/>
      <c r="Y15" s="7">
        <f t="shared" si="2"/>
        <v>38.571417214585239</v>
      </c>
      <c r="Z15" s="10">
        <f t="shared" si="4"/>
        <v>41.62915717534311</v>
      </c>
    </row>
    <row r="16" spans="1:26" x14ac:dyDescent="0.3">
      <c r="A16" s="2">
        <v>1912</v>
      </c>
      <c r="B16">
        <v>935.90089083637395</v>
      </c>
      <c r="C16">
        <v>878.99129232698999</v>
      </c>
      <c r="D16">
        <v>849.80486218107001</v>
      </c>
      <c r="E16">
        <v>861.68166876520695</v>
      </c>
      <c r="F16">
        <v>999.20981992274301</v>
      </c>
      <c r="G16">
        <v>1123.7199581648999</v>
      </c>
      <c r="H16">
        <v>1373.82056889761</v>
      </c>
      <c r="I16">
        <v>621.50022086978299</v>
      </c>
      <c r="J16">
        <v>752.49854283380898</v>
      </c>
      <c r="K16">
        <v>719.05982123248396</v>
      </c>
      <c r="L16">
        <v>964.58518954965996</v>
      </c>
      <c r="M16">
        <v>908.21991437011002</v>
      </c>
      <c r="N16">
        <v>911.84040750281201</v>
      </c>
      <c r="O16">
        <v>1038.196382501</v>
      </c>
      <c r="P16">
        <v>840.53315258569705</v>
      </c>
      <c r="Q16">
        <v>631.88708614934103</v>
      </c>
      <c r="S16" s="5">
        <f t="shared" si="3"/>
        <v>900.71561116809937</v>
      </c>
      <c r="T16" s="5">
        <f t="shared" si="1"/>
        <v>841.08255878940236</v>
      </c>
      <c r="U16" s="5"/>
      <c r="V16" s="7">
        <v>913.54561219994002</v>
      </c>
      <c r="W16" s="10"/>
      <c r="X16" s="5"/>
      <c r="Y16" s="7">
        <f t="shared" si="2"/>
        <v>33.138652816302454</v>
      </c>
      <c r="Z16" s="10">
        <f t="shared" si="4"/>
        <v>35.993697120677638</v>
      </c>
    </row>
    <row r="17" spans="1:26" x14ac:dyDescent="0.3">
      <c r="A17" s="2">
        <v>1913</v>
      </c>
      <c r="B17">
        <v>837.40527184244104</v>
      </c>
      <c r="C17">
        <v>792.96529076260003</v>
      </c>
      <c r="D17">
        <v>775.35282221964405</v>
      </c>
      <c r="E17">
        <v>793.31414958934499</v>
      </c>
      <c r="F17">
        <v>913.372357157907</v>
      </c>
      <c r="G17">
        <v>1029.1182244522299</v>
      </c>
      <c r="H17">
        <v>1260.4367652699</v>
      </c>
      <c r="I17">
        <v>627.24160284161906</v>
      </c>
      <c r="J17">
        <v>705.93013694105196</v>
      </c>
      <c r="K17">
        <v>765.136588399468</v>
      </c>
      <c r="L17">
        <v>1030.7301445508001</v>
      </c>
      <c r="M17">
        <v>911.73621554452302</v>
      </c>
      <c r="N17">
        <v>875.75301840521695</v>
      </c>
      <c r="O17">
        <v>1009.55264020672</v>
      </c>
      <c r="P17">
        <v>794.69292954271805</v>
      </c>
      <c r="Q17">
        <v>607.83156106420995</v>
      </c>
      <c r="S17" s="5">
        <f t="shared" si="3"/>
        <v>858.1606074243997</v>
      </c>
      <c r="T17" s="5">
        <f t="shared" si="1"/>
        <v>831.17166736093009</v>
      </c>
      <c r="U17" s="5"/>
      <c r="V17" s="7">
        <v>847.08961096368103</v>
      </c>
      <c r="W17" s="10"/>
      <c r="X17" s="5"/>
      <c r="Y17" s="7">
        <f t="shared" si="2"/>
        <v>32.74816369402064</v>
      </c>
      <c r="Z17" s="10">
        <f t="shared" si="4"/>
        <v>33.375330671969031</v>
      </c>
    </row>
    <row r="18" spans="1:26" x14ac:dyDescent="0.3">
      <c r="A18" s="2">
        <v>1914</v>
      </c>
      <c r="B18">
        <v>924.12943688339396</v>
      </c>
      <c r="C18">
        <v>893.41952699776596</v>
      </c>
      <c r="D18">
        <v>863.57827395215804</v>
      </c>
      <c r="E18">
        <v>892.78986625556502</v>
      </c>
      <c r="F18">
        <v>1047.12958405226</v>
      </c>
      <c r="G18">
        <v>1236.3448612504501</v>
      </c>
      <c r="H18">
        <v>1468.6671368407599</v>
      </c>
      <c r="I18">
        <v>656.82181382765202</v>
      </c>
      <c r="J18">
        <v>763.06329155775302</v>
      </c>
      <c r="K18">
        <v>829.46460665258496</v>
      </c>
      <c r="L18">
        <v>1083.9437859289701</v>
      </c>
      <c r="M18">
        <v>989.25989578093004</v>
      </c>
      <c r="N18">
        <v>1056.74487870283</v>
      </c>
      <c r="O18">
        <v>1113.7330363814999</v>
      </c>
      <c r="P18">
        <v>906.33663604191497</v>
      </c>
      <c r="Q18">
        <v>647.31956774074899</v>
      </c>
      <c r="S18" s="5">
        <f t="shared" si="3"/>
        <v>960.79663742795231</v>
      </c>
      <c r="T18" s="5">
        <f t="shared" si="1"/>
        <v>911.36553425254476</v>
      </c>
      <c r="U18" s="5"/>
      <c r="V18" s="7">
        <v>962.39609455971902</v>
      </c>
      <c r="W18" s="10"/>
      <c r="X18" s="5"/>
      <c r="Y18" s="7">
        <f t="shared" si="2"/>
        <v>35.907802049550263</v>
      </c>
      <c r="Z18" s="10">
        <f t="shared" si="4"/>
        <v>37.918406125652929</v>
      </c>
    </row>
    <row r="19" spans="1:26" x14ac:dyDescent="0.3">
      <c r="A19" s="2">
        <v>1915</v>
      </c>
      <c r="B19">
        <v>750.20101078104096</v>
      </c>
      <c r="C19">
        <v>709.47369197652802</v>
      </c>
      <c r="D19">
        <v>690.13006908590296</v>
      </c>
      <c r="E19">
        <v>710.213573201857</v>
      </c>
      <c r="F19">
        <v>817.37105805819203</v>
      </c>
      <c r="G19">
        <v>952.40141574068798</v>
      </c>
      <c r="H19">
        <v>1227.4374486532699</v>
      </c>
      <c r="I19">
        <v>580.75499731473701</v>
      </c>
      <c r="J19">
        <v>668.59662015513902</v>
      </c>
      <c r="K19">
        <v>709.41535861103398</v>
      </c>
      <c r="L19">
        <v>932.39137300222797</v>
      </c>
      <c r="M19">
        <v>796.98941730770002</v>
      </c>
      <c r="N19">
        <v>916.89558614878501</v>
      </c>
      <c r="O19">
        <v>885.29842260525697</v>
      </c>
      <c r="P19">
        <v>771.80398230265598</v>
      </c>
      <c r="Q19">
        <v>532.61697265560201</v>
      </c>
      <c r="S19" s="5">
        <f t="shared" si="3"/>
        <v>790.74943735003865</v>
      </c>
      <c r="T19" s="5">
        <f t="shared" si="1"/>
        <v>760.23696666203648</v>
      </c>
      <c r="U19" s="5"/>
      <c r="V19" s="7">
        <v>773.26365247192496</v>
      </c>
      <c r="W19" s="10"/>
      <c r="X19" s="5"/>
      <c r="Y19" s="7">
        <f t="shared" si="2"/>
        <v>29.953336486484236</v>
      </c>
      <c r="Z19" s="10">
        <f t="shared" si="4"/>
        <v>30.466587907393841</v>
      </c>
    </row>
    <row r="20" spans="1:26" x14ac:dyDescent="0.3">
      <c r="A20" s="2">
        <v>1916</v>
      </c>
      <c r="B20">
        <v>742.70446906109498</v>
      </c>
      <c r="C20">
        <v>686.01934444837298</v>
      </c>
      <c r="D20">
        <v>668.00128449371198</v>
      </c>
      <c r="E20">
        <v>699.93548846140504</v>
      </c>
      <c r="F20">
        <v>833.88822425729802</v>
      </c>
      <c r="G20">
        <v>994.19746271004999</v>
      </c>
      <c r="H20">
        <v>1243.1164815628199</v>
      </c>
      <c r="I20">
        <v>537.13845113213699</v>
      </c>
      <c r="J20">
        <v>662.35639311591103</v>
      </c>
      <c r="K20">
        <v>699.53522755758604</v>
      </c>
      <c r="L20">
        <v>939.56482087080803</v>
      </c>
      <c r="M20">
        <v>794.71551889117097</v>
      </c>
      <c r="N20">
        <v>910.23206041648996</v>
      </c>
      <c r="O20">
        <v>879.13892365971401</v>
      </c>
      <c r="P20">
        <v>792.62610848585598</v>
      </c>
      <c r="Q20">
        <v>495.49045299958499</v>
      </c>
      <c r="S20" s="5">
        <f t="shared" si="3"/>
        <v>786.16629450775076</v>
      </c>
      <c r="T20" s="5">
        <f t="shared" si="1"/>
        <v>753.74468638878034</v>
      </c>
      <c r="U20" s="5"/>
      <c r="V20" s="7">
        <v>774.68844236588302</v>
      </c>
      <c r="W20" s="10"/>
      <c r="X20" s="5"/>
      <c r="Y20" s="7">
        <f t="shared" si="2"/>
        <v>29.697540643717943</v>
      </c>
      <c r="Z20" s="10">
        <f t="shared" si="4"/>
        <v>30.522724629215791</v>
      </c>
    </row>
    <row r="21" spans="1:26" x14ac:dyDescent="0.3">
      <c r="A21" s="2">
        <v>1917</v>
      </c>
      <c r="B21">
        <v>929.29867010962198</v>
      </c>
      <c r="C21">
        <v>869.00487307851597</v>
      </c>
      <c r="D21">
        <v>819.08489668664697</v>
      </c>
      <c r="E21">
        <v>840.73628562727902</v>
      </c>
      <c r="F21">
        <v>968.93142017985099</v>
      </c>
      <c r="G21">
        <v>1090.8879854816</v>
      </c>
      <c r="H21">
        <v>1331.66661450222</v>
      </c>
      <c r="I21">
        <v>682.02971825125996</v>
      </c>
      <c r="J21">
        <v>811.32326673245404</v>
      </c>
      <c r="K21">
        <v>847.632349043148</v>
      </c>
      <c r="L21">
        <v>1144.7303842978499</v>
      </c>
      <c r="M21">
        <v>902.60527599444094</v>
      </c>
      <c r="N21">
        <v>1041.3793242306699</v>
      </c>
      <c r="O21">
        <v>1035.70308554091</v>
      </c>
      <c r="P21">
        <v>906.89887571547899</v>
      </c>
      <c r="Q21">
        <v>596.18028272999697</v>
      </c>
      <c r="S21" s="5">
        <f t="shared" si="3"/>
        <v>926.13083176262126</v>
      </c>
      <c r="T21" s="5">
        <f t="shared" si="1"/>
        <v>892.98726372563146</v>
      </c>
      <c r="U21" s="5"/>
      <c r="V21" s="7">
        <v>904.29459986366498</v>
      </c>
      <c r="W21" s="10"/>
      <c r="X21" s="5"/>
      <c r="Y21" s="7">
        <f t="shared" si="2"/>
        <v>35.183698190789876</v>
      </c>
      <c r="Z21" s="10">
        <f t="shared" si="4"/>
        <v>35.629207234628396</v>
      </c>
    </row>
    <row r="22" spans="1:26" x14ac:dyDescent="0.3">
      <c r="A22" s="2">
        <v>1918</v>
      </c>
      <c r="B22">
        <v>627.20838002917299</v>
      </c>
      <c r="C22">
        <v>602.20801687220705</v>
      </c>
      <c r="D22">
        <v>583.99528845657903</v>
      </c>
      <c r="E22">
        <v>649.28400549432001</v>
      </c>
      <c r="F22">
        <v>836.20743050916496</v>
      </c>
      <c r="G22">
        <v>954.350289106329</v>
      </c>
      <c r="H22">
        <v>1182.64385013479</v>
      </c>
      <c r="I22">
        <v>511.96623529915399</v>
      </c>
      <c r="J22">
        <v>694.48723901246603</v>
      </c>
      <c r="K22">
        <v>655.63621814967803</v>
      </c>
      <c r="L22">
        <v>866.61293309497205</v>
      </c>
      <c r="M22">
        <v>696.77208204501596</v>
      </c>
      <c r="N22">
        <v>747.60633140564403</v>
      </c>
      <c r="O22">
        <v>784.87893252204503</v>
      </c>
      <c r="P22">
        <v>645.17620559966997</v>
      </c>
      <c r="Q22">
        <v>471.01525880326602</v>
      </c>
      <c r="S22" s="5">
        <f t="shared" si="3"/>
        <v>719.37804353340448</v>
      </c>
      <c r="T22" s="5">
        <f t="shared" si="1"/>
        <v>692.42472765205662</v>
      </c>
      <c r="U22" s="5"/>
      <c r="V22" s="7">
        <v>704.60331564484102</v>
      </c>
      <c r="W22" s="10"/>
      <c r="X22" s="5"/>
      <c r="Y22" s="7">
        <f t="shared" si="2"/>
        <v>27.281534269491029</v>
      </c>
      <c r="Z22" s="10">
        <f t="shared" si="4"/>
        <v>27.761370636406735</v>
      </c>
    </row>
    <row r="23" spans="1:26" x14ac:dyDescent="0.3">
      <c r="A23" s="2">
        <v>1919</v>
      </c>
      <c r="B23">
        <v>583.42129731538</v>
      </c>
      <c r="C23">
        <v>557.909305348369</v>
      </c>
      <c r="D23">
        <v>541.77026386179398</v>
      </c>
      <c r="E23">
        <v>568.273528908451</v>
      </c>
      <c r="F23">
        <v>658.87419104785101</v>
      </c>
      <c r="G23">
        <v>756.16877951106005</v>
      </c>
      <c r="H23">
        <v>901.78057340459395</v>
      </c>
      <c r="I23">
        <v>459.44695081223199</v>
      </c>
      <c r="J23">
        <v>534.62682941026299</v>
      </c>
      <c r="K23">
        <v>540.62637075241798</v>
      </c>
      <c r="L23">
        <v>712.53729294747097</v>
      </c>
      <c r="M23">
        <v>685.61296523039596</v>
      </c>
      <c r="N23">
        <v>663.33336754965001</v>
      </c>
      <c r="O23">
        <v>739.80436440576204</v>
      </c>
      <c r="P23">
        <v>583.58897777148798</v>
      </c>
      <c r="Q23">
        <v>428.78146380127799</v>
      </c>
      <c r="S23" s="5">
        <f t="shared" si="3"/>
        <v>619.78478262990359</v>
      </c>
      <c r="T23" s="5">
        <f t="shared" si="1"/>
        <v>600.8315160160389</v>
      </c>
      <c r="U23" s="5"/>
      <c r="V23" s="7">
        <v>610.90407202526501</v>
      </c>
      <c r="W23" s="10"/>
      <c r="X23" s="5"/>
      <c r="Y23" s="7">
        <f t="shared" si="2"/>
        <v>23.67276173103193</v>
      </c>
      <c r="Z23" s="10">
        <f t="shared" si="4"/>
        <v>24.069620437795439</v>
      </c>
    </row>
    <row r="24" spans="1:26" x14ac:dyDescent="0.3">
      <c r="A24" s="2">
        <v>1920</v>
      </c>
      <c r="B24">
        <v>861.09308323727896</v>
      </c>
      <c r="C24">
        <v>816.355476581007</v>
      </c>
      <c r="D24">
        <v>786.99598139723503</v>
      </c>
      <c r="E24">
        <v>812.48524937809202</v>
      </c>
      <c r="F24">
        <v>959.31704376065397</v>
      </c>
      <c r="G24">
        <v>1086.85091443324</v>
      </c>
      <c r="H24">
        <v>1284.8374280800299</v>
      </c>
      <c r="I24">
        <v>634.26146502811196</v>
      </c>
      <c r="J24">
        <v>692.05874876723794</v>
      </c>
      <c r="K24">
        <v>767.67502659117599</v>
      </c>
      <c r="L24">
        <v>1031.2707285274901</v>
      </c>
      <c r="M24">
        <v>914.41633691658001</v>
      </c>
      <c r="N24">
        <v>955.24161864700704</v>
      </c>
      <c r="O24">
        <v>1009.78728669649</v>
      </c>
      <c r="P24">
        <v>838.246310099428</v>
      </c>
      <c r="Q24">
        <v>598.72619147153796</v>
      </c>
      <c r="S24" s="5">
        <f t="shared" si="3"/>
        <v>878.1011806007873</v>
      </c>
      <c r="T24" s="5">
        <f t="shared" si="1"/>
        <v>839.77606703781782</v>
      </c>
      <c r="U24" s="5"/>
      <c r="V24" s="7">
        <v>870.20259745065403</v>
      </c>
      <c r="W24" s="10"/>
      <c r="X24" s="5"/>
      <c r="Y24" s="7">
        <f t="shared" si="2"/>
        <v>33.087177041290019</v>
      </c>
      <c r="Z24" s="10">
        <f t="shared" si="4"/>
        <v>34.285982339555765</v>
      </c>
    </row>
    <row r="25" spans="1:26" x14ac:dyDescent="0.3">
      <c r="A25" s="2">
        <v>1921</v>
      </c>
      <c r="B25">
        <v>892.21281340194503</v>
      </c>
      <c r="C25">
        <v>816.51646704252698</v>
      </c>
      <c r="D25">
        <v>781.45879731819196</v>
      </c>
      <c r="E25">
        <v>828.92279774184601</v>
      </c>
      <c r="F25">
        <v>993.24220118173002</v>
      </c>
      <c r="G25">
        <v>1224.9477230519101</v>
      </c>
      <c r="H25">
        <v>1595.3689488458199</v>
      </c>
      <c r="I25">
        <v>686.18312768803798</v>
      </c>
      <c r="J25">
        <v>749.85145012937005</v>
      </c>
      <c r="K25">
        <v>877.855497048394</v>
      </c>
      <c r="L25">
        <v>1214.79046921194</v>
      </c>
      <c r="M25">
        <v>1013.04346528381</v>
      </c>
      <c r="N25">
        <v>1102.7802216160001</v>
      </c>
      <c r="O25">
        <v>1149.66582241535</v>
      </c>
      <c r="P25">
        <v>932.13622057398197</v>
      </c>
      <c r="Q25">
        <v>639.720365181175</v>
      </c>
      <c r="S25" s="5">
        <f t="shared" si="3"/>
        <v>968.66852423325201</v>
      </c>
      <c r="T25" s="5">
        <f t="shared" si="1"/>
        <v>941.51495306710297</v>
      </c>
      <c r="U25" s="5"/>
      <c r="V25" s="7">
        <v>948.29791354300903</v>
      </c>
      <c r="W25" s="10"/>
      <c r="X25" s="5"/>
      <c r="Y25" s="7">
        <f t="shared" si="2"/>
        <v>37.095689150843853</v>
      </c>
      <c r="Z25" s="10">
        <f t="shared" si="4"/>
        <v>37.362937793594554</v>
      </c>
    </row>
    <row r="26" spans="1:26" x14ac:dyDescent="0.3">
      <c r="A26" s="2">
        <v>1922</v>
      </c>
      <c r="B26">
        <v>847.98121571955096</v>
      </c>
      <c r="C26">
        <v>781.83887130844596</v>
      </c>
      <c r="D26">
        <v>747.07843408989504</v>
      </c>
      <c r="E26">
        <v>795.10514830064199</v>
      </c>
      <c r="F26">
        <v>982.81781967528798</v>
      </c>
      <c r="G26">
        <v>1220.1755809190199</v>
      </c>
      <c r="H26">
        <v>1482.2680576078501</v>
      </c>
      <c r="I26">
        <v>664.79069857695004</v>
      </c>
      <c r="J26">
        <v>781.84188293232103</v>
      </c>
      <c r="K26">
        <v>824.43889052223403</v>
      </c>
      <c r="L26">
        <v>1095.4560377789401</v>
      </c>
      <c r="M26">
        <v>931.87295057405504</v>
      </c>
      <c r="N26">
        <v>1023.28540592813</v>
      </c>
      <c r="O26">
        <v>1066.2924274222401</v>
      </c>
      <c r="P26">
        <v>873.41908800043302</v>
      </c>
      <c r="Q26">
        <v>594.97964854961003</v>
      </c>
      <c r="S26" s="5">
        <f t="shared" si="3"/>
        <v>919.60263486910048</v>
      </c>
      <c r="T26" s="5">
        <f t="shared" si="1"/>
        <v>885.08800554301342</v>
      </c>
      <c r="U26" s="5"/>
      <c r="V26" s="7">
        <v>907.11165037983699</v>
      </c>
      <c r="W26" s="10"/>
      <c r="X26" s="5"/>
      <c r="Y26" s="7">
        <f t="shared" si="2"/>
        <v>34.872467418394727</v>
      </c>
      <c r="Z26" s="10">
        <f t="shared" si="4"/>
        <v>35.740199024965577</v>
      </c>
    </row>
    <row r="27" spans="1:26" x14ac:dyDescent="0.3">
      <c r="A27" s="2">
        <v>1923</v>
      </c>
      <c r="B27">
        <v>1034.58705054441</v>
      </c>
      <c r="C27">
        <v>954.90477422281197</v>
      </c>
      <c r="D27">
        <v>902.72725615831496</v>
      </c>
      <c r="E27">
        <v>942.22993151857702</v>
      </c>
      <c r="F27">
        <v>1146.27915743377</v>
      </c>
      <c r="G27">
        <v>1357.6468002975701</v>
      </c>
      <c r="H27">
        <v>1646.29756381978</v>
      </c>
      <c r="I27">
        <v>734.50347853449398</v>
      </c>
      <c r="J27">
        <v>834.993928973366</v>
      </c>
      <c r="K27">
        <v>931.43069516746505</v>
      </c>
      <c r="L27">
        <v>1188.9520335993</v>
      </c>
      <c r="M27">
        <v>1025.1844632566001</v>
      </c>
      <c r="N27">
        <v>1210.19217427794</v>
      </c>
      <c r="O27">
        <v>1187.7195083029401</v>
      </c>
      <c r="P27">
        <v>1010.81062572413</v>
      </c>
      <c r="Q27">
        <v>661.63351708830896</v>
      </c>
      <c r="S27" s="5">
        <f t="shared" si="3"/>
        <v>1048.1308099324863</v>
      </c>
      <c r="T27" s="5">
        <f t="shared" si="1"/>
        <v>988.87018179493691</v>
      </c>
      <c r="U27" s="5"/>
      <c r="V27" s="7">
        <v>1042.9013281519699</v>
      </c>
      <c r="W27" s="10"/>
      <c r="X27" s="5"/>
      <c r="Y27" s="7">
        <f t="shared" si="2"/>
        <v>38.961485162720514</v>
      </c>
      <c r="Z27" s="10">
        <f t="shared" si="4"/>
        <v>41.090312329187611</v>
      </c>
    </row>
    <row r="28" spans="1:26" x14ac:dyDescent="0.3">
      <c r="A28" s="2">
        <v>1924</v>
      </c>
      <c r="B28">
        <v>480.51387427306202</v>
      </c>
      <c r="C28">
        <v>448.091119088575</v>
      </c>
      <c r="D28">
        <v>434.51783716336098</v>
      </c>
      <c r="E28">
        <v>449.62486254859101</v>
      </c>
      <c r="F28">
        <v>535.69739833370795</v>
      </c>
      <c r="G28">
        <v>621.41542844747005</v>
      </c>
      <c r="H28">
        <v>758.18164037043505</v>
      </c>
      <c r="I28">
        <v>377.91135387816399</v>
      </c>
      <c r="J28">
        <v>477.82191944852002</v>
      </c>
      <c r="K28">
        <v>459.877070145647</v>
      </c>
      <c r="L28">
        <v>602.66900173223405</v>
      </c>
      <c r="M28">
        <v>499.61721692149098</v>
      </c>
      <c r="N28">
        <v>575.56435875782904</v>
      </c>
      <c r="O28">
        <v>554.82086854878003</v>
      </c>
      <c r="P28">
        <v>497.43252758423301</v>
      </c>
      <c r="Q28">
        <v>343.0620747703</v>
      </c>
      <c r="S28" s="5">
        <f t="shared" si="3"/>
        <v>507.30115950077493</v>
      </c>
      <c r="T28" s="5">
        <f t="shared" si="1"/>
        <v>491.08726173921394</v>
      </c>
      <c r="U28" s="5"/>
      <c r="V28" s="7">
        <v>494.39351906626899</v>
      </c>
      <c r="W28" s="10"/>
      <c r="X28" s="5"/>
      <c r="Y28" s="7">
        <f t="shared" si="2"/>
        <v>19.348838112525026</v>
      </c>
      <c r="Z28" s="10">
        <f t="shared" si="4"/>
        <v>19.479104651210996</v>
      </c>
    </row>
    <row r="29" spans="1:26" x14ac:dyDescent="0.3">
      <c r="A29" s="2">
        <v>1925</v>
      </c>
      <c r="B29">
        <v>913.29363712662996</v>
      </c>
      <c r="C29">
        <v>861.08512006661601</v>
      </c>
      <c r="D29">
        <v>826.34584802469203</v>
      </c>
      <c r="E29">
        <v>848.37165658152196</v>
      </c>
      <c r="F29">
        <v>990.45406312237901</v>
      </c>
      <c r="G29">
        <v>1148.48367823385</v>
      </c>
      <c r="H29">
        <v>1444.1485912655601</v>
      </c>
      <c r="I29">
        <v>700.88594957046803</v>
      </c>
      <c r="J29">
        <v>907.76982983435596</v>
      </c>
      <c r="K29">
        <v>891.14899348019003</v>
      </c>
      <c r="L29">
        <v>1160.51770267029</v>
      </c>
      <c r="M29">
        <v>985.69807547775395</v>
      </c>
      <c r="N29">
        <v>1205.81103397579</v>
      </c>
      <c r="O29">
        <v>1102.5867370375099</v>
      </c>
      <c r="P29">
        <v>998.20866918311401</v>
      </c>
      <c r="Q29">
        <v>627.94970460632703</v>
      </c>
      <c r="S29" s="5">
        <f t="shared" si="3"/>
        <v>975.79745564106543</v>
      </c>
      <c r="T29" s="5">
        <f t="shared" si="1"/>
        <v>949.35805258233677</v>
      </c>
      <c r="U29" s="5"/>
      <c r="V29" s="7">
        <v>939.18816032246104</v>
      </c>
      <c r="W29" s="10"/>
      <c r="X29" s="5"/>
      <c r="Y29" s="7">
        <f t="shared" si="2"/>
        <v>37.404707271744066</v>
      </c>
      <c r="Z29" s="10">
        <f t="shared" si="4"/>
        <v>37.004013516704966</v>
      </c>
    </row>
    <row r="30" spans="1:26" x14ac:dyDescent="0.3">
      <c r="A30" s="2">
        <v>1926</v>
      </c>
      <c r="B30">
        <v>691.050102790962</v>
      </c>
      <c r="C30">
        <v>650.320137754705</v>
      </c>
      <c r="D30">
        <v>630.02414496238896</v>
      </c>
      <c r="E30">
        <v>644.04753860791504</v>
      </c>
      <c r="F30">
        <v>749.90377152802603</v>
      </c>
      <c r="G30">
        <v>833.03413247062099</v>
      </c>
      <c r="H30">
        <v>1012.99334471584</v>
      </c>
      <c r="I30">
        <v>582.46593016931797</v>
      </c>
      <c r="J30">
        <v>694.13056572373398</v>
      </c>
      <c r="K30">
        <v>739.03042803700498</v>
      </c>
      <c r="L30">
        <v>957.17354452932796</v>
      </c>
      <c r="M30">
        <v>779.32357124725604</v>
      </c>
      <c r="N30">
        <v>953.932856392433</v>
      </c>
      <c r="O30">
        <v>835.20897525752605</v>
      </c>
      <c r="P30">
        <v>793.26942878626403</v>
      </c>
      <c r="Q30">
        <v>510.82570479773898</v>
      </c>
      <c r="S30" s="5">
        <f t="shared" si="3"/>
        <v>753.5458861106913</v>
      </c>
      <c r="T30" s="5">
        <f t="shared" si="1"/>
        <v>752.27051752439206</v>
      </c>
      <c r="U30" s="5"/>
      <c r="V30" s="7">
        <v>710.28949531858495</v>
      </c>
      <c r="W30" s="10"/>
      <c r="X30" s="5"/>
      <c r="Y30" s="7">
        <f t="shared" si="2"/>
        <v>29.639458390461044</v>
      </c>
      <c r="Z30" s="10">
        <f t="shared" si="4"/>
        <v>27.985406115552244</v>
      </c>
    </row>
    <row r="31" spans="1:26" x14ac:dyDescent="0.3">
      <c r="A31" s="2">
        <v>1927</v>
      </c>
      <c r="B31">
        <v>865.74969621651405</v>
      </c>
      <c r="C31">
        <v>812.37794197923495</v>
      </c>
      <c r="D31">
        <v>785.32650429371995</v>
      </c>
      <c r="E31">
        <v>815.99208502063505</v>
      </c>
      <c r="F31">
        <v>988.56521280803497</v>
      </c>
      <c r="G31">
        <v>1134.8367654086201</v>
      </c>
      <c r="H31">
        <v>1424.0892632820301</v>
      </c>
      <c r="I31">
        <v>675.50444632581605</v>
      </c>
      <c r="J31">
        <v>854.36142715946698</v>
      </c>
      <c r="K31">
        <v>840.99566269693798</v>
      </c>
      <c r="L31">
        <v>1110.65126244358</v>
      </c>
      <c r="M31">
        <v>978.57732011447399</v>
      </c>
      <c r="N31">
        <v>1048.2987271894301</v>
      </c>
      <c r="O31">
        <v>1068.6536866389299</v>
      </c>
      <c r="P31">
        <v>906.556855295996</v>
      </c>
      <c r="Q31">
        <v>594.98190207790799</v>
      </c>
      <c r="S31" s="5">
        <f t="shared" si="3"/>
        <v>931.59492243445823</v>
      </c>
      <c r="T31" s="5">
        <f t="shared" si="1"/>
        <v>903.79298640023103</v>
      </c>
      <c r="U31" s="5"/>
      <c r="V31" s="7">
        <v>900.42937298695597</v>
      </c>
      <c r="W31" s="10"/>
      <c r="X31" s="5"/>
      <c r="Y31" s="7">
        <f t="shared" si="2"/>
        <v>35.609443664169099</v>
      </c>
      <c r="Z31" s="10">
        <f t="shared" si="4"/>
        <v>35.476917295686064</v>
      </c>
    </row>
    <row r="32" spans="1:26" x14ac:dyDescent="0.3">
      <c r="A32" s="2">
        <v>1928</v>
      </c>
      <c r="B32">
        <v>774.41136685160404</v>
      </c>
      <c r="C32">
        <v>728.29314467167501</v>
      </c>
      <c r="D32">
        <v>703.03659076306599</v>
      </c>
      <c r="E32">
        <v>716.39830869150103</v>
      </c>
      <c r="F32">
        <v>835.43707612601804</v>
      </c>
      <c r="G32">
        <v>931.85699000910404</v>
      </c>
      <c r="H32">
        <v>1131.9681198784499</v>
      </c>
      <c r="I32">
        <v>503.90779033519902</v>
      </c>
      <c r="J32">
        <v>676.14419289585499</v>
      </c>
      <c r="K32">
        <v>626.82847765594704</v>
      </c>
      <c r="L32">
        <v>857.66961472340597</v>
      </c>
      <c r="M32">
        <v>755.53451974636596</v>
      </c>
      <c r="N32">
        <v>771.73414073512697</v>
      </c>
      <c r="O32">
        <v>842.73162627912802</v>
      </c>
      <c r="P32">
        <v>682.77716064451101</v>
      </c>
      <c r="Q32">
        <v>467.00475103946599</v>
      </c>
      <c r="S32" s="5">
        <f t="shared" si="3"/>
        <v>750.35836694040142</v>
      </c>
      <c r="T32" s="5">
        <f t="shared" si="1"/>
        <v>703.83637641732571</v>
      </c>
      <c r="U32" s="5"/>
      <c r="V32" s="7">
        <v>746.35002911483798</v>
      </c>
      <c r="W32" s="10"/>
      <c r="X32" s="5"/>
      <c r="Y32" s="7">
        <f t="shared" si="2"/>
        <v>27.731153230842633</v>
      </c>
      <c r="Z32" s="10">
        <f t="shared" si="4"/>
        <v>29.406191147124616</v>
      </c>
    </row>
    <row r="33" spans="1:26" x14ac:dyDescent="0.3">
      <c r="A33" s="2">
        <v>1929</v>
      </c>
      <c r="B33">
        <v>1065.3523755341901</v>
      </c>
      <c r="C33">
        <v>996.29410306463205</v>
      </c>
      <c r="D33">
        <v>956.81944122549896</v>
      </c>
      <c r="E33">
        <v>981.84186176063804</v>
      </c>
      <c r="F33">
        <v>1181.5745147543801</v>
      </c>
      <c r="G33">
        <v>1344.2377596430399</v>
      </c>
      <c r="H33">
        <v>1649.88308879174</v>
      </c>
      <c r="I33">
        <v>665.94282919270302</v>
      </c>
      <c r="J33">
        <v>808.51278000017498</v>
      </c>
      <c r="K33">
        <v>848.38629425552699</v>
      </c>
      <c r="L33">
        <v>1075.3637118046399</v>
      </c>
      <c r="M33">
        <v>1044.9888367543499</v>
      </c>
      <c r="N33">
        <v>1167.43855402126</v>
      </c>
      <c r="O33">
        <v>1186.8169319195599</v>
      </c>
      <c r="P33">
        <v>1028.1556713561499</v>
      </c>
      <c r="Q33">
        <v>645.37151773929702</v>
      </c>
      <c r="S33" s="5">
        <f t="shared" si="3"/>
        <v>1040.4362669886114</v>
      </c>
      <c r="T33" s="5">
        <f t="shared" si="1"/>
        <v>958.39821850230874</v>
      </c>
      <c r="U33" s="5"/>
      <c r="V33" s="7">
        <v>1053.3449918961701</v>
      </c>
      <c r="W33" s="10"/>
      <c r="X33" s="5"/>
      <c r="Y33" s="7">
        <f t="shared" si="2"/>
        <v>37.76088980899096</v>
      </c>
      <c r="Z33" s="10">
        <f t="shared" si="4"/>
        <v>41.501792680709102</v>
      </c>
    </row>
    <row r="34" spans="1:26" x14ac:dyDescent="0.3">
      <c r="A34" s="2">
        <v>1930</v>
      </c>
      <c r="B34">
        <v>719.523410292324</v>
      </c>
      <c r="C34">
        <v>691.28014726433605</v>
      </c>
      <c r="D34">
        <v>674.18890909224604</v>
      </c>
      <c r="E34">
        <v>687.90327073489505</v>
      </c>
      <c r="F34">
        <v>785.96071861440998</v>
      </c>
      <c r="G34">
        <v>846.35909832952802</v>
      </c>
      <c r="H34">
        <v>1004.41294431785</v>
      </c>
      <c r="I34">
        <v>556.64850236307302</v>
      </c>
      <c r="J34">
        <v>648.12010797325297</v>
      </c>
      <c r="K34">
        <v>689.31038484556098</v>
      </c>
      <c r="L34">
        <v>888.20703308518603</v>
      </c>
      <c r="M34">
        <v>765.863387685362</v>
      </c>
      <c r="N34">
        <v>830.58532580372105</v>
      </c>
      <c r="O34">
        <v>815.73643553771001</v>
      </c>
      <c r="P34">
        <v>707.95719162421506</v>
      </c>
      <c r="Q34">
        <v>505.652144076338</v>
      </c>
      <c r="S34" s="5">
        <f t="shared" si="3"/>
        <v>738.60681322750042</v>
      </c>
      <c r="T34" s="5">
        <f t="shared" si="1"/>
        <v>717.68950971129493</v>
      </c>
      <c r="U34" s="5"/>
      <c r="V34" s="7">
        <v>716.31543223532697</v>
      </c>
      <c r="W34" s="10"/>
      <c r="X34" s="5"/>
      <c r="Y34" s="7">
        <f t="shared" si="2"/>
        <v>28.276966682625019</v>
      </c>
      <c r="Z34" s="10">
        <f t="shared" si="4"/>
        <v>28.222828030071881</v>
      </c>
    </row>
    <row r="35" spans="1:26" x14ac:dyDescent="0.3">
      <c r="A35" s="2">
        <v>1931</v>
      </c>
      <c r="B35">
        <v>538.37266974951399</v>
      </c>
      <c r="C35">
        <v>506.09592373184398</v>
      </c>
      <c r="D35">
        <v>489.111728073309</v>
      </c>
      <c r="E35">
        <v>498.03285276006801</v>
      </c>
      <c r="F35">
        <v>582.32908641381903</v>
      </c>
      <c r="G35">
        <v>641.92887549642296</v>
      </c>
      <c r="H35">
        <v>794.18255445850605</v>
      </c>
      <c r="I35">
        <v>393.78901729927998</v>
      </c>
      <c r="J35">
        <v>473.00354303160702</v>
      </c>
      <c r="K35">
        <v>482.83336287371202</v>
      </c>
      <c r="L35">
        <v>643.00634324119403</v>
      </c>
      <c r="M35">
        <v>563.95159249082701</v>
      </c>
      <c r="N35">
        <v>588.16117620612101</v>
      </c>
      <c r="O35">
        <v>617.94446697015201</v>
      </c>
      <c r="P35">
        <v>498.459919334978</v>
      </c>
      <c r="Q35">
        <v>353.252213027746</v>
      </c>
      <c r="S35" s="5">
        <f t="shared" si="3"/>
        <v>541.5284578224439</v>
      </c>
      <c r="T35" s="5">
        <f t="shared" si="1"/>
        <v>519.57668872008844</v>
      </c>
      <c r="U35" s="5"/>
      <c r="V35" s="7">
        <v>527.64898009881904</v>
      </c>
      <c r="W35" s="10"/>
      <c r="X35" s="5"/>
      <c r="Y35" s="7">
        <f t="shared" si="2"/>
        <v>20.471321535571484</v>
      </c>
      <c r="Z35" s="10">
        <f t="shared" si="4"/>
        <v>20.789369815893469</v>
      </c>
    </row>
    <row r="36" spans="1:26" x14ac:dyDescent="0.3">
      <c r="A36" s="2">
        <v>1932</v>
      </c>
      <c r="B36">
        <v>841.28526294828998</v>
      </c>
      <c r="C36">
        <v>769.88892334570596</v>
      </c>
      <c r="D36">
        <v>731.33710683926301</v>
      </c>
      <c r="E36">
        <v>744.65382654371604</v>
      </c>
      <c r="F36">
        <v>870.44928192122802</v>
      </c>
      <c r="G36">
        <v>1002.99319562859</v>
      </c>
      <c r="H36">
        <v>1250.1627072614101</v>
      </c>
      <c r="I36">
        <v>632.25456031562396</v>
      </c>
      <c r="J36">
        <v>787.99507952017495</v>
      </c>
      <c r="K36">
        <v>793.08043689858005</v>
      </c>
      <c r="L36">
        <v>1093.9366981124599</v>
      </c>
      <c r="M36">
        <v>868.95636167794396</v>
      </c>
      <c r="N36">
        <v>945.97537327257498</v>
      </c>
      <c r="O36">
        <v>970.56050181455305</v>
      </c>
      <c r="P36">
        <v>813.39889333744395</v>
      </c>
      <c r="Q36">
        <v>544.40453203334198</v>
      </c>
      <c r="S36" s="5">
        <f t="shared" si="3"/>
        <v>853.83329634193126</v>
      </c>
      <c r="T36" s="5">
        <f t="shared" si="1"/>
        <v>834.75428712044004</v>
      </c>
      <c r="U36" s="5"/>
      <c r="V36" s="7">
        <v>820.49677806620002</v>
      </c>
      <c r="W36" s="10"/>
      <c r="X36" s="5"/>
      <c r="Y36" s="7">
        <f t="shared" si="2"/>
        <v>32.889318912545335</v>
      </c>
      <c r="Z36" s="10">
        <f t="shared" si="4"/>
        <v>32.32757305580828</v>
      </c>
    </row>
    <row r="37" spans="1:26" x14ac:dyDescent="0.3">
      <c r="A37" s="2">
        <v>1933</v>
      </c>
      <c r="B37">
        <v>740.43196792752997</v>
      </c>
      <c r="C37">
        <v>676.61542575440399</v>
      </c>
      <c r="D37">
        <v>633.27718013374795</v>
      </c>
      <c r="E37">
        <v>641.13864144837703</v>
      </c>
      <c r="F37">
        <v>777.71427930603204</v>
      </c>
      <c r="G37">
        <v>923.93242041232804</v>
      </c>
      <c r="H37">
        <v>1154.11528298292</v>
      </c>
      <c r="I37">
        <v>490.57192696823802</v>
      </c>
      <c r="J37">
        <v>574.910600122559</v>
      </c>
      <c r="K37">
        <v>617.765702328477</v>
      </c>
      <c r="L37">
        <v>816.99286474617395</v>
      </c>
      <c r="M37">
        <v>685.73249388334602</v>
      </c>
      <c r="N37">
        <v>794.92811074097006</v>
      </c>
      <c r="O37">
        <v>792.16852043173901</v>
      </c>
      <c r="P37">
        <v>681.10888797206701</v>
      </c>
      <c r="Q37">
        <v>415.94427778496902</v>
      </c>
      <c r="S37" s="5">
        <f t="shared" si="3"/>
        <v>713.58428643399225</v>
      </c>
      <c r="T37" s="5">
        <f t="shared" ref="T37:T68" si="5">(B37*$B$3)+(C37*$C$3)+(D37*$D$3)+(E37*$E$3)+(F37*$F$3)+(G37*$G$3)+(H37*$H$3)+(I37*$I$3)+(J37*$J$3)+(K37*$K$3)+(L37*$L$3)+(M37*$M$3)+(N37*$N$3)+(O37*$O$3)+(P37*$P$3)+(Q37*$Q$3)</f>
        <v>663.48759064581941</v>
      </c>
      <c r="U37" s="5"/>
      <c r="V37" s="7">
        <v>710.09940579257704</v>
      </c>
      <c r="W37" s="10"/>
      <c r="X37" s="5"/>
      <c r="Y37" s="7">
        <f t="shared" ref="Y37:Y68" si="6">T37*0.0394</f>
        <v>26.141411071445283</v>
      </c>
      <c r="Z37" s="10">
        <f t="shared" si="4"/>
        <v>27.977916588227533</v>
      </c>
    </row>
    <row r="38" spans="1:26" x14ac:dyDescent="0.3">
      <c r="A38" s="2">
        <v>1934</v>
      </c>
      <c r="B38">
        <v>471.83633652379399</v>
      </c>
      <c r="C38">
        <v>430.701655235494</v>
      </c>
      <c r="D38">
        <v>407.06939821754997</v>
      </c>
      <c r="E38">
        <v>419.89279592207902</v>
      </c>
      <c r="F38">
        <v>512.99629300665697</v>
      </c>
      <c r="G38">
        <v>610.81127504621998</v>
      </c>
      <c r="H38">
        <v>762.80389966526502</v>
      </c>
      <c r="I38">
        <v>359.00629664783003</v>
      </c>
      <c r="J38">
        <v>464.48250790033802</v>
      </c>
      <c r="K38">
        <v>449.890324502993</v>
      </c>
      <c r="L38">
        <v>593.040653311406</v>
      </c>
      <c r="M38">
        <v>474.81490298040097</v>
      </c>
      <c r="N38">
        <v>563.47598331091399</v>
      </c>
      <c r="O38">
        <v>543.69388623937198</v>
      </c>
      <c r="P38">
        <v>476.21532327494401</v>
      </c>
      <c r="Q38">
        <v>290.67485002752898</v>
      </c>
      <c r="S38" s="5">
        <f t="shared" si="3"/>
        <v>489.46289886329913</v>
      </c>
      <c r="T38" s="5">
        <f t="shared" si="5"/>
        <v>470.80595513785886</v>
      </c>
      <c r="U38" s="5"/>
      <c r="V38" s="7">
        <v>472.28314429984698</v>
      </c>
      <c r="W38" s="10"/>
      <c r="X38" s="5"/>
      <c r="Y38" s="7">
        <f t="shared" si="6"/>
        <v>18.54975463243164</v>
      </c>
      <c r="Z38" s="10">
        <f t="shared" si="4"/>
        <v>18.607955885413968</v>
      </c>
    </row>
    <row r="39" spans="1:26" x14ac:dyDescent="0.3">
      <c r="A39" s="2">
        <v>1935</v>
      </c>
      <c r="B39">
        <v>826.997071803062</v>
      </c>
      <c r="C39">
        <v>767.24984421497095</v>
      </c>
      <c r="D39">
        <v>718.54175607693799</v>
      </c>
      <c r="E39">
        <v>715.480349069883</v>
      </c>
      <c r="F39">
        <v>823.18802518375401</v>
      </c>
      <c r="G39">
        <v>912.32593623948696</v>
      </c>
      <c r="H39">
        <v>1149.15145035351</v>
      </c>
      <c r="I39">
        <v>529.72510846844796</v>
      </c>
      <c r="J39">
        <v>692.02645339914704</v>
      </c>
      <c r="K39">
        <v>640.33596451285996</v>
      </c>
      <c r="L39">
        <v>853.64458921064499</v>
      </c>
      <c r="M39">
        <v>730.51799869666002</v>
      </c>
      <c r="N39">
        <v>808.71572851278495</v>
      </c>
      <c r="O39">
        <v>842.34503163201998</v>
      </c>
      <c r="P39">
        <v>721.51774031600996</v>
      </c>
      <c r="Q39">
        <v>476.85362849203</v>
      </c>
      <c r="S39" s="5">
        <f t="shared" si="3"/>
        <v>763.0385422613881</v>
      </c>
      <c r="T39" s="5">
        <f t="shared" si="5"/>
        <v>711.57021123695529</v>
      </c>
      <c r="U39" s="5"/>
      <c r="V39" s="7">
        <v>758.48109456477198</v>
      </c>
      <c r="W39" s="10"/>
      <c r="X39" s="5"/>
      <c r="Y39" s="7">
        <f t="shared" si="6"/>
        <v>28.035866322736037</v>
      </c>
      <c r="Z39" s="10">
        <f t="shared" si="4"/>
        <v>29.884155125852015</v>
      </c>
    </row>
    <row r="40" spans="1:26" x14ac:dyDescent="0.3">
      <c r="A40" s="2">
        <v>1936</v>
      </c>
      <c r="B40">
        <v>949.81483455090404</v>
      </c>
      <c r="C40">
        <v>909.82936200031202</v>
      </c>
      <c r="D40">
        <v>846.91287103062598</v>
      </c>
      <c r="E40">
        <v>835.15210160232596</v>
      </c>
      <c r="F40">
        <v>967.93163585623404</v>
      </c>
      <c r="G40">
        <v>1127.07664818495</v>
      </c>
      <c r="H40">
        <v>1331.1707053484299</v>
      </c>
      <c r="I40">
        <v>648.30908551914399</v>
      </c>
      <c r="J40">
        <v>913.18742407686102</v>
      </c>
      <c r="K40">
        <v>830.50341292914402</v>
      </c>
      <c r="L40">
        <v>1112.76029351478</v>
      </c>
      <c r="M40">
        <v>884.68010489288395</v>
      </c>
      <c r="N40">
        <v>1026.54067969787</v>
      </c>
      <c r="O40">
        <v>999.84483198653299</v>
      </c>
      <c r="P40">
        <v>885.35329357039905</v>
      </c>
      <c r="Q40">
        <v>543.33755954033995</v>
      </c>
      <c r="S40" s="5">
        <f t="shared" si="3"/>
        <v>925.77530276885852</v>
      </c>
      <c r="T40" s="5">
        <f t="shared" si="5"/>
        <v>881.1774610865042</v>
      </c>
      <c r="U40" s="5"/>
      <c r="V40" s="7">
        <v>901.92559128923006</v>
      </c>
      <c r="W40" s="10"/>
      <c r="X40" s="5"/>
      <c r="Y40" s="7">
        <f t="shared" si="6"/>
        <v>34.718391966808262</v>
      </c>
      <c r="Z40" s="10">
        <f t="shared" si="4"/>
        <v>35.535868296795663</v>
      </c>
    </row>
    <row r="41" spans="1:26" x14ac:dyDescent="0.3">
      <c r="A41" s="2">
        <v>1937</v>
      </c>
      <c r="B41">
        <v>829.25360433244305</v>
      </c>
      <c r="C41">
        <v>770.98081531043897</v>
      </c>
      <c r="D41">
        <v>744.131313202775</v>
      </c>
      <c r="E41">
        <v>757.19434161141305</v>
      </c>
      <c r="F41">
        <v>869.15568424001196</v>
      </c>
      <c r="G41">
        <v>974.490268887772</v>
      </c>
      <c r="H41">
        <v>1203.6693290402</v>
      </c>
      <c r="I41">
        <v>630.17187443070895</v>
      </c>
      <c r="J41">
        <v>733.31670222996797</v>
      </c>
      <c r="K41">
        <v>810.47602758065</v>
      </c>
      <c r="L41">
        <v>1096.2189231146799</v>
      </c>
      <c r="M41">
        <v>861.54323600746204</v>
      </c>
      <c r="N41">
        <v>983.83994954320701</v>
      </c>
      <c r="O41">
        <v>963.36168937577395</v>
      </c>
      <c r="P41">
        <v>851.72273697717606</v>
      </c>
      <c r="Q41">
        <v>561.68349612955205</v>
      </c>
      <c r="S41" s="5">
        <f t="shared" si="3"/>
        <v>852.57562450088949</v>
      </c>
      <c r="T41" s="5">
        <f t="shared" si="5"/>
        <v>836.80777950913125</v>
      </c>
      <c r="U41" s="5"/>
      <c r="V41" s="7">
        <v>821.92824993719501</v>
      </c>
      <c r="W41" s="10"/>
      <c r="X41" s="5"/>
      <c r="Y41" s="7">
        <f t="shared" si="6"/>
        <v>32.970226512659771</v>
      </c>
      <c r="Z41" s="10">
        <f t="shared" si="4"/>
        <v>32.38397304752548</v>
      </c>
    </row>
    <row r="42" spans="1:26" x14ac:dyDescent="0.3">
      <c r="A42" s="2">
        <v>1938</v>
      </c>
      <c r="B42">
        <v>861.939666018455</v>
      </c>
      <c r="C42">
        <v>810.34756172499499</v>
      </c>
      <c r="D42">
        <v>776.88671373615705</v>
      </c>
      <c r="E42">
        <v>797.53805206915195</v>
      </c>
      <c r="F42">
        <v>945.44799171493696</v>
      </c>
      <c r="G42">
        <v>1083.1420456467099</v>
      </c>
      <c r="H42">
        <v>1348.99858580058</v>
      </c>
      <c r="I42">
        <v>611.09461888769295</v>
      </c>
      <c r="J42">
        <v>859.79497353435204</v>
      </c>
      <c r="K42">
        <v>748.53309323294798</v>
      </c>
      <c r="L42">
        <v>1005.19834558503</v>
      </c>
      <c r="M42">
        <v>896.93230716507105</v>
      </c>
      <c r="N42">
        <v>907.84886908199701</v>
      </c>
      <c r="O42">
        <v>995.65970942580202</v>
      </c>
      <c r="P42">
        <v>797.02012823910002</v>
      </c>
      <c r="Q42">
        <v>558.14097676882898</v>
      </c>
      <c r="S42" s="5">
        <f t="shared" si="3"/>
        <v>875.28272741448802</v>
      </c>
      <c r="T42" s="5">
        <f t="shared" si="5"/>
        <v>834.90865371607947</v>
      </c>
      <c r="U42" s="5"/>
      <c r="V42" s="7">
        <v>859.52633662861399</v>
      </c>
      <c r="W42" s="10"/>
      <c r="X42" s="5"/>
      <c r="Y42" s="7">
        <f t="shared" si="6"/>
        <v>32.895400956413532</v>
      </c>
      <c r="Z42" s="10">
        <f t="shared" si="4"/>
        <v>33.865337663167388</v>
      </c>
    </row>
    <row r="43" spans="1:26" x14ac:dyDescent="0.3">
      <c r="A43" s="2">
        <v>1939</v>
      </c>
      <c r="B43">
        <v>687.68526043377506</v>
      </c>
      <c r="C43">
        <v>649.43119781060204</v>
      </c>
      <c r="D43">
        <v>633.96914483754495</v>
      </c>
      <c r="E43">
        <v>648.13718974874701</v>
      </c>
      <c r="F43">
        <v>747.92738311450398</v>
      </c>
      <c r="G43">
        <v>823.85766895355596</v>
      </c>
      <c r="H43">
        <v>1029.31750324368</v>
      </c>
      <c r="I43">
        <v>514.27505784124901</v>
      </c>
      <c r="J43">
        <v>679.58783455291598</v>
      </c>
      <c r="K43">
        <v>636.58811374914899</v>
      </c>
      <c r="L43">
        <v>858.95303667962196</v>
      </c>
      <c r="M43">
        <v>741.92135629393204</v>
      </c>
      <c r="N43">
        <v>795.66729910478705</v>
      </c>
      <c r="O43">
        <v>807.53393388630002</v>
      </c>
      <c r="P43">
        <v>700.98534205810404</v>
      </c>
      <c r="Q43">
        <v>469.57464038344699</v>
      </c>
      <c r="S43" s="5">
        <f t="shared" si="3"/>
        <v>714.08824766824466</v>
      </c>
      <c r="T43" s="5">
        <f t="shared" si="5"/>
        <v>693.94031953989168</v>
      </c>
      <c r="U43" s="5"/>
      <c r="V43" s="7">
        <v>691.93388670671902</v>
      </c>
      <c r="W43" s="10"/>
      <c r="X43" s="5"/>
      <c r="Y43" s="7">
        <f t="shared" si="6"/>
        <v>27.341248589871729</v>
      </c>
      <c r="Z43" s="10">
        <f t="shared" si="4"/>
        <v>27.262195136244728</v>
      </c>
    </row>
    <row r="44" spans="1:26" x14ac:dyDescent="0.3">
      <c r="A44" s="2">
        <v>1940</v>
      </c>
      <c r="B44">
        <v>791.62859971265902</v>
      </c>
      <c r="C44">
        <v>728.67527104272494</v>
      </c>
      <c r="D44">
        <v>668.03888324251295</v>
      </c>
      <c r="E44">
        <v>645.80007498028999</v>
      </c>
      <c r="F44">
        <v>725.94634741266395</v>
      </c>
      <c r="G44">
        <v>767.952601196822</v>
      </c>
      <c r="H44">
        <v>950.68256239642199</v>
      </c>
      <c r="I44">
        <v>509.08612768795399</v>
      </c>
      <c r="J44">
        <v>662.67859056059297</v>
      </c>
      <c r="K44">
        <v>644.50625604653499</v>
      </c>
      <c r="L44">
        <v>843.04826950031099</v>
      </c>
      <c r="M44">
        <v>737.24704277576905</v>
      </c>
      <c r="N44">
        <v>794.94319258617202</v>
      </c>
      <c r="O44">
        <v>794.72469960306898</v>
      </c>
      <c r="P44">
        <v>700.45949706818897</v>
      </c>
      <c r="Q44">
        <v>456.20943655830501</v>
      </c>
      <c r="S44" s="5">
        <f t="shared" si="3"/>
        <v>713.85171577318692</v>
      </c>
      <c r="T44" s="5">
        <f t="shared" si="5"/>
        <v>686.04345298125827</v>
      </c>
      <c r="U44" s="5"/>
      <c r="V44" s="7">
        <v>691.74068487110799</v>
      </c>
      <c r="W44" s="10"/>
      <c r="X44" s="5"/>
      <c r="Y44" s="7">
        <f t="shared" si="6"/>
        <v>27.030112047461575</v>
      </c>
      <c r="Z44" s="10">
        <f t="shared" si="4"/>
        <v>27.254582983921654</v>
      </c>
    </row>
    <row r="45" spans="1:26" x14ac:dyDescent="0.3">
      <c r="A45" s="2">
        <v>1941</v>
      </c>
      <c r="B45">
        <v>847.92939947425805</v>
      </c>
      <c r="C45">
        <v>809.31077369173204</v>
      </c>
      <c r="D45">
        <v>771.07471094416303</v>
      </c>
      <c r="E45">
        <v>811.69727554566805</v>
      </c>
      <c r="F45">
        <v>955.802019206203</v>
      </c>
      <c r="G45">
        <v>1045.4339336901501</v>
      </c>
      <c r="H45">
        <v>1277.9574190577</v>
      </c>
      <c r="I45">
        <v>672.17135941664299</v>
      </c>
      <c r="J45">
        <v>764.83101425015104</v>
      </c>
      <c r="K45">
        <v>802.249666024004</v>
      </c>
      <c r="L45">
        <v>1024.8277066839501</v>
      </c>
      <c r="M45">
        <v>882.96267390185699</v>
      </c>
      <c r="N45">
        <v>979.24294091235697</v>
      </c>
      <c r="O45">
        <v>962.524553917856</v>
      </c>
      <c r="P45">
        <v>853.26593744287902</v>
      </c>
      <c r="Q45">
        <v>601.39061879046699</v>
      </c>
      <c r="S45" s="5">
        <f t="shared" si="3"/>
        <v>878.91700018437734</v>
      </c>
      <c r="T45" s="5">
        <f t="shared" si="5"/>
        <v>845.55158702645588</v>
      </c>
      <c r="U45" s="5"/>
      <c r="V45" s="7">
        <v>861.51341124985595</v>
      </c>
      <c r="W45" s="10"/>
      <c r="X45" s="5"/>
      <c r="Y45" s="7">
        <f t="shared" si="6"/>
        <v>33.314732528842356</v>
      </c>
      <c r="Z45" s="10">
        <f t="shared" si="4"/>
        <v>33.943628403244325</v>
      </c>
    </row>
    <row r="46" spans="1:26" x14ac:dyDescent="0.3">
      <c r="A46" s="2">
        <v>1942</v>
      </c>
      <c r="B46">
        <v>883.44753165284203</v>
      </c>
      <c r="C46">
        <v>821.734659970027</v>
      </c>
      <c r="D46">
        <v>768.68651964066896</v>
      </c>
      <c r="E46">
        <v>793.38558161061496</v>
      </c>
      <c r="F46">
        <v>966.08585932182802</v>
      </c>
      <c r="G46">
        <v>1088.69380739179</v>
      </c>
      <c r="H46">
        <v>1377.71332079019</v>
      </c>
      <c r="I46">
        <v>605.96649452690303</v>
      </c>
      <c r="J46">
        <v>707.88671696349695</v>
      </c>
      <c r="K46">
        <v>703.167534154485</v>
      </c>
      <c r="L46">
        <v>1027.9598332579001</v>
      </c>
      <c r="M46">
        <v>829.01318141405295</v>
      </c>
      <c r="N46">
        <v>953.03395829975602</v>
      </c>
      <c r="O46">
        <v>929.92176678640897</v>
      </c>
      <c r="P46">
        <v>812.99554644402599</v>
      </c>
      <c r="Q46">
        <v>533.82595621222401</v>
      </c>
      <c r="S46" s="5">
        <f t="shared" si="3"/>
        <v>862.71989177732598</v>
      </c>
      <c r="T46" s="5">
        <f t="shared" si="5"/>
        <v>802.51695377489955</v>
      </c>
      <c r="U46" s="5"/>
      <c r="V46" s="7">
        <v>855.74757977005095</v>
      </c>
      <c r="W46" s="10"/>
      <c r="X46" s="5"/>
      <c r="Y46" s="7">
        <f t="shared" si="6"/>
        <v>31.619167978731038</v>
      </c>
      <c r="Z46" s="10">
        <f t="shared" si="4"/>
        <v>33.716454642940008</v>
      </c>
    </row>
    <row r="47" spans="1:26" x14ac:dyDescent="0.3">
      <c r="A47" s="2">
        <v>1943</v>
      </c>
      <c r="B47">
        <v>773.59359533223005</v>
      </c>
      <c r="C47">
        <v>724.31230583400895</v>
      </c>
      <c r="D47">
        <v>693.76970744039397</v>
      </c>
      <c r="E47">
        <v>711.67800940640302</v>
      </c>
      <c r="F47">
        <v>847.61063235990696</v>
      </c>
      <c r="G47">
        <v>990.61480878710302</v>
      </c>
      <c r="H47">
        <v>1252.54603303675</v>
      </c>
      <c r="I47">
        <v>576.08752418087397</v>
      </c>
      <c r="J47">
        <v>784.79552016569096</v>
      </c>
      <c r="K47">
        <v>713.07136950677796</v>
      </c>
      <c r="L47">
        <v>940.56387580419801</v>
      </c>
      <c r="M47">
        <v>796.05261055005303</v>
      </c>
      <c r="N47">
        <v>859.44386637628395</v>
      </c>
      <c r="O47">
        <v>892.44019746773995</v>
      </c>
      <c r="P47">
        <v>731.73989035232103</v>
      </c>
      <c r="Q47">
        <v>513.60248909830102</v>
      </c>
      <c r="S47" s="5">
        <f t="shared" si="3"/>
        <v>800.12015223118988</v>
      </c>
      <c r="T47" s="5">
        <f t="shared" si="5"/>
        <v>767.7699323962936</v>
      </c>
      <c r="U47" s="5"/>
      <c r="V47" s="7">
        <v>778.927119047019</v>
      </c>
      <c r="W47" s="10"/>
      <c r="X47" s="5"/>
      <c r="Y47" s="7">
        <f t="shared" si="6"/>
        <v>30.250135336413965</v>
      </c>
      <c r="Z47" s="10">
        <f t="shared" si="4"/>
        <v>30.689728490452548</v>
      </c>
    </row>
    <row r="48" spans="1:26" x14ac:dyDescent="0.3">
      <c r="A48" s="2">
        <v>1944</v>
      </c>
      <c r="B48">
        <v>853.14285816502797</v>
      </c>
      <c r="C48">
        <v>807.77028413309199</v>
      </c>
      <c r="D48">
        <v>764.75057749309804</v>
      </c>
      <c r="E48">
        <v>775.23101917950999</v>
      </c>
      <c r="F48">
        <v>925.66498101791399</v>
      </c>
      <c r="G48">
        <v>1033.61620911047</v>
      </c>
      <c r="H48">
        <v>1253.51138851276</v>
      </c>
      <c r="I48">
        <v>552.21405420877102</v>
      </c>
      <c r="J48">
        <v>614.62743801325996</v>
      </c>
      <c r="K48">
        <v>635.13413614382102</v>
      </c>
      <c r="L48">
        <v>878.68002651352697</v>
      </c>
      <c r="M48">
        <v>828.80523212926403</v>
      </c>
      <c r="N48">
        <v>816.63602512705302</v>
      </c>
      <c r="O48">
        <v>929.57896312788796</v>
      </c>
      <c r="P48">
        <v>718.97110097899997</v>
      </c>
      <c r="Q48">
        <v>551.243631263368</v>
      </c>
      <c r="S48" s="5">
        <f t="shared" si="3"/>
        <v>808.72362031986381</v>
      </c>
      <c r="T48" s="5">
        <f t="shared" si="5"/>
        <v>746.44197134932153</v>
      </c>
      <c r="U48" s="5"/>
      <c r="V48" s="7">
        <v>820.92367495849703</v>
      </c>
      <c r="W48" s="10"/>
      <c r="X48" s="5"/>
      <c r="Y48" s="7">
        <f t="shared" si="6"/>
        <v>29.409813671163267</v>
      </c>
      <c r="Z48" s="10">
        <f t="shared" si="4"/>
        <v>32.344392793364783</v>
      </c>
    </row>
    <row r="49" spans="1:26" x14ac:dyDescent="0.3">
      <c r="A49" s="2">
        <v>1945</v>
      </c>
      <c r="B49">
        <v>812.837793957087</v>
      </c>
      <c r="C49">
        <v>765.50829727052496</v>
      </c>
      <c r="D49">
        <v>744.07267363076699</v>
      </c>
      <c r="E49">
        <v>768.26839501138602</v>
      </c>
      <c r="F49">
        <v>911.86627398451697</v>
      </c>
      <c r="G49">
        <v>1063.2338274699</v>
      </c>
      <c r="H49">
        <v>1306.88717539801</v>
      </c>
      <c r="I49">
        <v>657.42968448488205</v>
      </c>
      <c r="J49">
        <v>861.45654436464895</v>
      </c>
      <c r="K49">
        <v>782.29171073144005</v>
      </c>
      <c r="L49">
        <v>1041.9597579126601</v>
      </c>
      <c r="M49">
        <v>902.16160639986197</v>
      </c>
      <c r="N49">
        <v>953.88856448049501</v>
      </c>
      <c r="O49">
        <v>990.45247558858796</v>
      </c>
      <c r="P49">
        <v>827.82330771136503</v>
      </c>
      <c r="Q49">
        <v>590.89790117894802</v>
      </c>
      <c r="S49" s="5">
        <f t="shared" si="3"/>
        <v>873.81474934844266</v>
      </c>
      <c r="T49" s="5">
        <f t="shared" si="5"/>
        <v>851.96831757067389</v>
      </c>
      <c r="U49" s="5"/>
      <c r="V49" s="7">
        <v>844.65062930174099</v>
      </c>
      <c r="W49" s="10"/>
      <c r="X49" s="5"/>
      <c r="Y49" s="7">
        <f t="shared" si="6"/>
        <v>33.567551712284548</v>
      </c>
      <c r="Z49" s="10">
        <f t="shared" si="4"/>
        <v>33.279234794488595</v>
      </c>
    </row>
    <row r="50" spans="1:26" x14ac:dyDescent="0.3">
      <c r="A50" s="2">
        <v>1946</v>
      </c>
      <c r="B50">
        <v>754.15950346335796</v>
      </c>
      <c r="C50">
        <v>704.70423312979597</v>
      </c>
      <c r="D50">
        <v>679.99035788579704</v>
      </c>
      <c r="E50">
        <v>700.27022782876998</v>
      </c>
      <c r="F50">
        <v>838.77005876982696</v>
      </c>
      <c r="G50">
        <v>953.49263808471699</v>
      </c>
      <c r="H50">
        <v>1223.3385855850699</v>
      </c>
      <c r="I50">
        <v>546.94898796451696</v>
      </c>
      <c r="J50">
        <v>658.27682281418902</v>
      </c>
      <c r="K50">
        <v>669.50136623794594</v>
      </c>
      <c r="L50">
        <v>914.49674631697599</v>
      </c>
      <c r="M50">
        <v>730.68493963714195</v>
      </c>
      <c r="N50">
        <v>803.95498272120506</v>
      </c>
      <c r="O50">
        <v>830.34316249809797</v>
      </c>
      <c r="P50">
        <v>696.94314478143201</v>
      </c>
      <c r="Q50">
        <v>474.84751840485399</v>
      </c>
      <c r="S50" s="5">
        <f t="shared" si="3"/>
        <v>761.29520475773086</v>
      </c>
      <c r="T50" s="5">
        <f t="shared" si="5"/>
        <v>718.24576194568351</v>
      </c>
      <c r="U50" s="5"/>
      <c r="V50" s="7">
        <v>751.13704116247402</v>
      </c>
      <c r="W50" s="10"/>
      <c r="X50" s="5"/>
      <c r="Y50" s="7">
        <f t="shared" si="6"/>
        <v>28.298883020659929</v>
      </c>
      <c r="Z50" s="10">
        <f t="shared" si="4"/>
        <v>29.594799421801476</v>
      </c>
    </row>
    <row r="51" spans="1:26" x14ac:dyDescent="0.3">
      <c r="A51" s="2">
        <v>1947</v>
      </c>
      <c r="B51">
        <v>940.59378050992404</v>
      </c>
      <c r="C51">
        <v>901.39312055854498</v>
      </c>
      <c r="D51">
        <v>870.10883437007396</v>
      </c>
      <c r="E51">
        <v>889.08237216377995</v>
      </c>
      <c r="F51">
        <v>1029.2739534089801</v>
      </c>
      <c r="G51">
        <v>1171.2065335044799</v>
      </c>
      <c r="H51">
        <v>1436.4226332819501</v>
      </c>
      <c r="I51">
        <v>698.53037481070601</v>
      </c>
      <c r="J51">
        <v>782.267086434573</v>
      </c>
      <c r="K51">
        <v>826.17234379817103</v>
      </c>
      <c r="L51">
        <v>1058.38572342313</v>
      </c>
      <c r="M51">
        <v>969.65950191922605</v>
      </c>
      <c r="N51">
        <v>988.66273966150504</v>
      </c>
      <c r="O51">
        <v>1050.4444230194799</v>
      </c>
      <c r="P51">
        <v>881.40132633992403</v>
      </c>
      <c r="Q51">
        <v>663.32942448792301</v>
      </c>
      <c r="S51" s="5">
        <f t="shared" si="3"/>
        <v>947.30838573077335</v>
      </c>
      <c r="T51" s="5">
        <f t="shared" si="5"/>
        <v>897.7825729481051</v>
      </c>
      <c r="U51" s="5"/>
      <c r="V51" s="7">
        <v>944.15201338214001</v>
      </c>
      <c r="W51" s="10"/>
      <c r="X51" s="5"/>
      <c r="Y51" s="7">
        <f t="shared" si="6"/>
        <v>35.372633374155342</v>
      </c>
      <c r="Z51" s="10">
        <f t="shared" si="4"/>
        <v>37.199589327256312</v>
      </c>
    </row>
    <row r="52" spans="1:26" x14ac:dyDescent="0.3">
      <c r="A52" s="2">
        <v>1948</v>
      </c>
      <c r="B52">
        <v>828.96480208468995</v>
      </c>
      <c r="C52">
        <v>774.51842774349996</v>
      </c>
      <c r="D52">
        <v>734.52062450076198</v>
      </c>
      <c r="E52">
        <v>746.898593630954</v>
      </c>
      <c r="F52">
        <v>897.79167378041802</v>
      </c>
      <c r="G52">
        <v>1042.3768975493799</v>
      </c>
      <c r="H52">
        <v>1316.8147512425801</v>
      </c>
      <c r="I52">
        <v>559.79527360070801</v>
      </c>
      <c r="J52">
        <v>730.63785921732904</v>
      </c>
      <c r="K52">
        <v>699.01143345236005</v>
      </c>
      <c r="L52">
        <v>989.59095131529705</v>
      </c>
      <c r="M52">
        <v>774.45082698630301</v>
      </c>
      <c r="N52">
        <v>888.43786596390601</v>
      </c>
      <c r="O52">
        <v>867.04975618574099</v>
      </c>
      <c r="P52">
        <v>755.68730453340299</v>
      </c>
      <c r="Q52">
        <v>498.421077234775</v>
      </c>
      <c r="S52" s="5">
        <f t="shared" si="3"/>
        <v>819.06050743888159</v>
      </c>
      <c r="T52" s="5">
        <f t="shared" si="5"/>
        <v>767.70735772233979</v>
      </c>
      <c r="U52" s="5"/>
      <c r="V52" s="7">
        <v>805.105632052376</v>
      </c>
      <c r="W52" s="10"/>
      <c r="X52" s="5"/>
      <c r="Y52" s="7">
        <f t="shared" si="6"/>
        <v>30.247669894260184</v>
      </c>
      <c r="Z52" s="10">
        <f t="shared" si="4"/>
        <v>31.721161902863614</v>
      </c>
    </row>
    <row r="53" spans="1:26" x14ac:dyDescent="0.3">
      <c r="A53" s="2">
        <v>1949</v>
      </c>
      <c r="B53">
        <v>924.02719757562397</v>
      </c>
      <c r="C53">
        <v>854.19164044712102</v>
      </c>
      <c r="D53">
        <v>803.18258165318696</v>
      </c>
      <c r="E53">
        <v>816.52052097174396</v>
      </c>
      <c r="F53">
        <v>965.16281762219603</v>
      </c>
      <c r="G53">
        <v>1090.4323715939199</v>
      </c>
      <c r="H53">
        <v>1395.51338179339</v>
      </c>
      <c r="I53">
        <v>653.36595272111299</v>
      </c>
      <c r="J53">
        <v>803.85063023587202</v>
      </c>
      <c r="K53">
        <v>814.34905409484395</v>
      </c>
      <c r="L53">
        <v>1114.64909184314</v>
      </c>
      <c r="M53">
        <v>880.17000602430505</v>
      </c>
      <c r="N53">
        <v>993.58532683504302</v>
      </c>
      <c r="O53">
        <v>1005.14475888113</v>
      </c>
      <c r="P53">
        <v>858.94402267672695</v>
      </c>
      <c r="Q53">
        <v>572.15696983576095</v>
      </c>
      <c r="S53" s="5">
        <f t="shared" si="3"/>
        <v>909.07789530031994</v>
      </c>
      <c r="T53" s="5">
        <f t="shared" si="5"/>
        <v>867.61251566665942</v>
      </c>
      <c r="U53" s="5"/>
      <c r="V53" s="7">
        <v>891.46626611835302</v>
      </c>
      <c r="W53" s="10"/>
      <c r="X53" s="5"/>
      <c r="Y53" s="7">
        <f t="shared" si="6"/>
        <v>34.183933117266378</v>
      </c>
      <c r="Z53" s="10">
        <f t="shared" si="4"/>
        <v>35.123770885063109</v>
      </c>
    </row>
    <row r="54" spans="1:26" x14ac:dyDescent="0.3">
      <c r="A54" s="2">
        <v>1950</v>
      </c>
      <c r="B54">
        <v>872.00735355207598</v>
      </c>
      <c r="C54">
        <v>816.12389205226498</v>
      </c>
      <c r="D54">
        <v>783.17205746305899</v>
      </c>
      <c r="E54">
        <v>813.99013404867799</v>
      </c>
      <c r="F54">
        <v>982.73597172239295</v>
      </c>
      <c r="G54">
        <v>1159.1250265690601</v>
      </c>
      <c r="H54">
        <v>1482.6146101511299</v>
      </c>
      <c r="I54">
        <v>641.68963246166595</v>
      </c>
      <c r="J54">
        <v>875.64518748938303</v>
      </c>
      <c r="K54">
        <v>783.38031019452899</v>
      </c>
      <c r="L54">
        <v>1023.12622415722</v>
      </c>
      <c r="M54">
        <v>841.00116960313903</v>
      </c>
      <c r="N54">
        <v>923.72967380996101</v>
      </c>
      <c r="O54">
        <v>964.073511243967</v>
      </c>
      <c r="P54">
        <v>795.33385433251397</v>
      </c>
      <c r="Q54">
        <v>543.433261071218</v>
      </c>
      <c r="S54" s="5">
        <f t="shared" si="3"/>
        <v>893.82386687014105</v>
      </c>
      <c r="T54" s="5">
        <f t="shared" si="5"/>
        <v>840.17724633752539</v>
      </c>
      <c r="U54" s="5"/>
      <c r="V54" s="7">
        <v>883.68373607773697</v>
      </c>
      <c r="W54" s="10"/>
      <c r="X54" s="5"/>
      <c r="Y54" s="7">
        <f t="shared" si="6"/>
        <v>33.102983505698496</v>
      </c>
      <c r="Z54" s="10">
        <f t="shared" si="4"/>
        <v>34.817139201462837</v>
      </c>
    </row>
    <row r="55" spans="1:26" x14ac:dyDescent="0.3">
      <c r="A55" s="2">
        <v>1951</v>
      </c>
      <c r="B55">
        <v>845.35683116708299</v>
      </c>
      <c r="C55">
        <v>787.98882167019997</v>
      </c>
      <c r="D55">
        <v>762.82689787825302</v>
      </c>
      <c r="E55">
        <v>787.23587499177802</v>
      </c>
      <c r="F55">
        <v>938.05915675193103</v>
      </c>
      <c r="G55">
        <v>1102.71417320057</v>
      </c>
      <c r="H55">
        <v>1415.81585716016</v>
      </c>
      <c r="I55">
        <v>635.92160612309397</v>
      </c>
      <c r="J55">
        <v>868.79916555710099</v>
      </c>
      <c r="K55">
        <v>792.736488523253</v>
      </c>
      <c r="L55">
        <v>1083.3398383977401</v>
      </c>
      <c r="M55">
        <v>861.66796316219097</v>
      </c>
      <c r="N55">
        <v>972.04189461739304</v>
      </c>
      <c r="O55">
        <v>959.04400960365103</v>
      </c>
      <c r="P55">
        <v>846.38802150855304</v>
      </c>
      <c r="Q55">
        <v>553.08273133257205</v>
      </c>
      <c r="S55" s="5">
        <f t="shared" si="3"/>
        <v>888.31370822784527</v>
      </c>
      <c r="T55" s="5">
        <f t="shared" si="5"/>
        <v>852.81486006216835</v>
      </c>
      <c r="U55" s="5"/>
      <c r="V55" s="7">
        <v>863.77529722480301</v>
      </c>
      <c r="W55" s="10"/>
      <c r="X55" s="5"/>
      <c r="Y55" s="7">
        <f t="shared" si="6"/>
        <v>33.600905486449427</v>
      </c>
      <c r="Z55" s="10">
        <f t="shared" si="4"/>
        <v>34.032746710657236</v>
      </c>
    </row>
    <row r="56" spans="1:26" x14ac:dyDescent="0.3">
      <c r="A56" s="2">
        <v>1952</v>
      </c>
      <c r="B56">
        <v>1087.9290770320199</v>
      </c>
      <c r="C56">
        <v>1005.70230206925</v>
      </c>
      <c r="D56">
        <v>950.62244807825698</v>
      </c>
      <c r="E56">
        <v>965.35952375940599</v>
      </c>
      <c r="F56">
        <v>1142.4250212162999</v>
      </c>
      <c r="G56">
        <v>1332.1711234808499</v>
      </c>
      <c r="H56">
        <v>1663.8554081888601</v>
      </c>
      <c r="I56">
        <v>722.399678746576</v>
      </c>
      <c r="J56">
        <v>802.78946713150594</v>
      </c>
      <c r="K56">
        <v>912.42887629209599</v>
      </c>
      <c r="L56">
        <v>1215.96409541344</v>
      </c>
      <c r="M56">
        <v>1082.3868901716</v>
      </c>
      <c r="N56">
        <v>1155.89879106324</v>
      </c>
      <c r="O56">
        <v>1203.1045651966599</v>
      </c>
      <c r="P56">
        <v>995.03922444991599</v>
      </c>
      <c r="Q56">
        <v>674.31020539552605</v>
      </c>
      <c r="S56" s="5">
        <f t="shared" si="3"/>
        <v>1057.0241686053439</v>
      </c>
      <c r="T56" s="5">
        <f t="shared" si="5"/>
        <v>993.3665946456631</v>
      </c>
      <c r="U56" s="5"/>
      <c r="V56" s="7">
        <v>1056.5895275502601</v>
      </c>
      <c r="W56" s="10"/>
      <c r="X56" s="5"/>
      <c r="Y56" s="7">
        <f t="shared" si="6"/>
        <v>39.138643829039125</v>
      </c>
      <c r="Z56" s="10">
        <f t="shared" si="4"/>
        <v>41.629627385480241</v>
      </c>
    </row>
    <row r="57" spans="1:26" x14ac:dyDescent="0.3">
      <c r="A57" s="2">
        <v>1953</v>
      </c>
      <c r="B57">
        <v>845.90787880264497</v>
      </c>
      <c r="C57">
        <v>780.806885992302</v>
      </c>
      <c r="D57">
        <v>723.42320584329195</v>
      </c>
      <c r="E57">
        <v>717.41946113746303</v>
      </c>
      <c r="F57">
        <v>847.36799855894503</v>
      </c>
      <c r="G57">
        <v>951.53003091477694</v>
      </c>
      <c r="H57">
        <v>1204.0950841904801</v>
      </c>
      <c r="I57">
        <v>562.90033157666301</v>
      </c>
      <c r="J57">
        <v>652.42295048150902</v>
      </c>
      <c r="K57">
        <v>735.95786818323904</v>
      </c>
      <c r="L57">
        <v>974.25202911162899</v>
      </c>
      <c r="M57">
        <v>806.750866902589</v>
      </c>
      <c r="N57">
        <v>877.59415292532401</v>
      </c>
      <c r="O57">
        <v>908.94815714430899</v>
      </c>
      <c r="P57">
        <v>749.29882517911506</v>
      </c>
      <c r="Q57">
        <v>484.47579692968401</v>
      </c>
      <c r="S57" s="5">
        <f t="shared" si="3"/>
        <v>801.4469702421228</v>
      </c>
      <c r="T57" s="5">
        <f t="shared" si="5"/>
        <v>762.38589492010306</v>
      </c>
      <c r="U57" s="5"/>
      <c r="V57" s="7">
        <v>783.51077192329103</v>
      </c>
      <c r="W57" s="10"/>
      <c r="X57" s="5"/>
      <c r="Y57" s="7">
        <f t="shared" si="6"/>
        <v>30.038004259852059</v>
      </c>
      <c r="Z57" s="10">
        <f t="shared" si="4"/>
        <v>30.870324413777666</v>
      </c>
    </row>
    <row r="58" spans="1:26" x14ac:dyDescent="0.3">
      <c r="A58" s="2">
        <v>1954</v>
      </c>
      <c r="B58">
        <v>707.68482209694503</v>
      </c>
      <c r="C58">
        <v>659.02801775605997</v>
      </c>
      <c r="D58">
        <v>631.48559235711195</v>
      </c>
      <c r="E58">
        <v>647.075663846711</v>
      </c>
      <c r="F58">
        <v>789.91043662299001</v>
      </c>
      <c r="G58">
        <v>920.24144505246102</v>
      </c>
      <c r="H58">
        <v>1163.6457577778101</v>
      </c>
      <c r="I58">
        <v>464.22735104155799</v>
      </c>
      <c r="J58">
        <v>684.84122404312495</v>
      </c>
      <c r="K58">
        <v>567.02972115941395</v>
      </c>
      <c r="L58">
        <v>770.36755015387303</v>
      </c>
      <c r="M58">
        <v>700.362456005421</v>
      </c>
      <c r="N58">
        <v>712.686797511328</v>
      </c>
      <c r="O58">
        <v>766.55235046748203</v>
      </c>
      <c r="P58">
        <v>613.08652003826796</v>
      </c>
      <c r="Q58">
        <v>428.49572681100398</v>
      </c>
      <c r="S58" s="5">
        <f t="shared" si="3"/>
        <v>701.67008954634764</v>
      </c>
      <c r="T58" s="5">
        <f t="shared" si="5"/>
        <v>651.68422165579386</v>
      </c>
      <c r="U58" s="5"/>
      <c r="V58" s="7">
        <v>697.750777816697</v>
      </c>
      <c r="W58" s="10"/>
      <c r="X58" s="5"/>
      <c r="Y58" s="7">
        <f t="shared" si="6"/>
        <v>25.676358333238277</v>
      </c>
      <c r="Z58" s="10">
        <f t="shared" si="4"/>
        <v>27.491380645977859</v>
      </c>
    </row>
    <row r="59" spans="1:26" x14ac:dyDescent="0.3">
      <c r="A59" s="2">
        <v>1955</v>
      </c>
      <c r="B59">
        <v>861.59983879414006</v>
      </c>
      <c r="C59">
        <v>785.91523590185705</v>
      </c>
      <c r="D59">
        <v>720.50500911892902</v>
      </c>
      <c r="E59">
        <v>734.44961256339695</v>
      </c>
      <c r="F59">
        <v>931.35271908188804</v>
      </c>
      <c r="G59">
        <v>1136.4397933918499</v>
      </c>
      <c r="H59">
        <v>1457.30251013778</v>
      </c>
      <c r="I59">
        <v>582.14493043495997</v>
      </c>
      <c r="J59">
        <v>728.97627616899501</v>
      </c>
      <c r="K59">
        <v>748.30178525106101</v>
      </c>
      <c r="L59">
        <v>1017.7768455799099</v>
      </c>
      <c r="M59">
        <v>862.24947302058797</v>
      </c>
      <c r="N59">
        <v>947.51260450025404</v>
      </c>
      <c r="O59">
        <v>975.31473077731005</v>
      </c>
      <c r="P59">
        <v>791.74708260572504</v>
      </c>
      <c r="Q59">
        <v>507.87625922398598</v>
      </c>
      <c r="S59" s="5">
        <f t="shared" si="3"/>
        <v>861.84154415953935</v>
      </c>
      <c r="T59" s="5">
        <f t="shared" si="5"/>
        <v>811.24911628219797</v>
      </c>
      <c r="U59" s="5"/>
      <c r="V59" s="7">
        <v>846.64469666927698</v>
      </c>
      <c r="W59" s="10"/>
      <c r="X59" s="5"/>
      <c r="Y59" s="7">
        <f t="shared" si="6"/>
        <v>31.963215181518599</v>
      </c>
      <c r="Z59" s="10">
        <f t="shared" si="4"/>
        <v>33.35780104876951</v>
      </c>
    </row>
    <row r="60" spans="1:26" x14ac:dyDescent="0.3">
      <c r="A60" s="2">
        <v>1956</v>
      </c>
      <c r="B60">
        <v>849.10940557751201</v>
      </c>
      <c r="C60">
        <v>787.43360920727696</v>
      </c>
      <c r="D60">
        <v>745.29865696434399</v>
      </c>
      <c r="E60">
        <v>762.78497680842099</v>
      </c>
      <c r="F60">
        <v>930.15842090053104</v>
      </c>
      <c r="G60">
        <v>1102.2591344299001</v>
      </c>
      <c r="H60">
        <v>1417.67410265948</v>
      </c>
      <c r="I60">
        <v>570.40967249617995</v>
      </c>
      <c r="J60">
        <v>823.03540806355602</v>
      </c>
      <c r="K60">
        <v>710.00547618143605</v>
      </c>
      <c r="L60">
        <v>1005.35347279111</v>
      </c>
      <c r="M60">
        <v>785.74169506905696</v>
      </c>
      <c r="N60">
        <v>956.81055040908302</v>
      </c>
      <c r="O60">
        <v>911.19741185590306</v>
      </c>
      <c r="P60">
        <v>790.61969974428598</v>
      </c>
      <c r="Q60">
        <v>476.30350923104697</v>
      </c>
      <c r="S60" s="5">
        <f t="shared" si="3"/>
        <v>851.51220014932017</v>
      </c>
      <c r="T60" s="5">
        <f t="shared" si="5"/>
        <v>793.1574957353539</v>
      </c>
      <c r="U60" s="5"/>
      <c r="V60" s="7">
        <v>834.57668901886802</v>
      </c>
      <c r="W60" s="10"/>
      <c r="X60" s="5"/>
      <c r="Y60" s="7">
        <f t="shared" si="6"/>
        <v>31.250405331972942</v>
      </c>
      <c r="Z60" s="10">
        <f t="shared" si="4"/>
        <v>32.882321547343395</v>
      </c>
    </row>
    <row r="61" spans="1:26" x14ac:dyDescent="0.3">
      <c r="A61" s="2">
        <v>1957</v>
      </c>
      <c r="B61">
        <v>989.90891678611399</v>
      </c>
      <c r="C61">
        <v>929.23768636546504</v>
      </c>
      <c r="D61">
        <v>886.31547969420706</v>
      </c>
      <c r="E61">
        <v>895.415451212834</v>
      </c>
      <c r="F61">
        <v>1047.1775802412701</v>
      </c>
      <c r="G61">
        <v>1158.0965438584201</v>
      </c>
      <c r="H61">
        <v>1439.3755443564801</v>
      </c>
      <c r="I61">
        <v>643.13903948429095</v>
      </c>
      <c r="J61">
        <v>785.62431898911802</v>
      </c>
      <c r="K61">
        <v>778.40829124336597</v>
      </c>
      <c r="L61">
        <v>1025.21456854179</v>
      </c>
      <c r="M61">
        <v>958.92196213025704</v>
      </c>
      <c r="N61">
        <v>990.77179457341299</v>
      </c>
      <c r="O61">
        <v>1074.3038413982099</v>
      </c>
      <c r="P61">
        <v>858.13630194865596</v>
      </c>
      <c r="Q61">
        <v>618.01353352592298</v>
      </c>
      <c r="S61" s="5">
        <f t="shared" si="3"/>
        <v>942.37880339686342</v>
      </c>
      <c r="T61" s="5">
        <f t="shared" si="5"/>
        <v>878.17631580337707</v>
      </c>
      <c r="U61" s="5"/>
      <c r="V61" s="7">
        <v>945.84524113499003</v>
      </c>
      <c r="W61" s="10"/>
      <c r="X61" s="5"/>
      <c r="Y61" s="7">
        <f t="shared" si="6"/>
        <v>34.600146842653054</v>
      </c>
      <c r="Z61" s="10">
        <f t="shared" si="4"/>
        <v>37.266302500718602</v>
      </c>
    </row>
    <row r="62" spans="1:26" x14ac:dyDescent="0.3">
      <c r="A62" s="2">
        <v>1958</v>
      </c>
      <c r="B62">
        <v>879.96081309692397</v>
      </c>
      <c r="C62">
        <v>818.00729859238504</v>
      </c>
      <c r="D62">
        <v>760.03351243731504</v>
      </c>
      <c r="E62">
        <v>765.56625137629396</v>
      </c>
      <c r="F62">
        <v>937.68853578118501</v>
      </c>
      <c r="G62">
        <v>1099.93163855237</v>
      </c>
      <c r="H62">
        <v>1410.81792312781</v>
      </c>
      <c r="I62">
        <v>563.09863892950204</v>
      </c>
      <c r="J62">
        <v>703.99129048214002</v>
      </c>
      <c r="K62">
        <v>715.44621205062595</v>
      </c>
      <c r="L62">
        <v>946.92908319354297</v>
      </c>
      <c r="M62">
        <v>817.977454207096</v>
      </c>
      <c r="N62">
        <v>976.12871441634002</v>
      </c>
      <c r="O62">
        <v>943.18593040923997</v>
      </c>
      <c r="P62">
        <v>819.74080026494198</v>
      </c>
      <c r="Q62">
        <v>474.46634236251998</v>
      </c>
      <c r="S62" s="5">
        <f t="shared" si="3"/>
        <v>852.06065245501452</v>
      </c>
      <c r="T62" s="5">
        <f t="shared" si="5"/>
        <v>784.5800532669225</v>
      </c>
      <c r="U62" s="5"/>
      <c r="V62" s="7">
        <v>847.01376411689296</v>
      </c>
      <c r="W62" s="10"/>
      <c r="X62" s="5"/>
      <c r="Y62" s="7">
        <f t="shared" si="6"/>
        <v>30.912454098716744</v>
      </c>
      <c r="Z62" s="10">
        <f t="shared" si="4"/>
        <v>33.372342306205582</v>
      </c>
    </row>
    <row r="63" spans="1:26" x14ac:dyDescent="0.3">
      <c r="A63" s="2">
        <v>1959</v>
      </c>
      <c r="B63">
        <v>820.009831711532</v>
      </c>
      <c r="C63">
        <v>770.98123482205494</v>
      </c>
      <c r="D63">
        <v>734.03276052704905</v>
      </c>
      <c r="E63">
        <v>744.08448220106095</v>
      </c>
      <c r="F63">
        <v>886.28867223995906</v>
      </c>
      <c r="G63">
        <v>1025.5686377632101</v>
      </c>
      <c r="H63">
        <v>1294.0308461771799</v>
      </c>
      <c r="I63">
        <v>588.83131889035997</v>
      </c>
      <c r="J63">
        <v>724.73222800733004</v>
      </c>
      <c r="K63">
        <v>702.43592307967799</v>
      </c>
      <c r="L63">
        <v>874.568538783392</v>
      </c>
      <c r="M63">
        <v>802.49643089085396</v>
      </c>
      <c r="N63">
        <v>845.51622451029505</v>
      </c>
      <c r="O63">
        <v>885.170524051342</v>
      </c>
      <c r="P63">
        <v>737.76043873326398</v>
      </c>
      <c r="Q63">
        <v>521.11408763327097</v>
      </c>
      <c r="S63" s="5">
        <f t="shared" si="3"/>
        <v>809.85138625136449</v>
      </c>
      <c r="T63" s="5">
        <f t="shared" si="5"/>
        <v>757.5667958092796</v>
      </c>
      <c r="U63" s="5"/>
      <c r="V63" s="7">
        <v>805.22202694494297</v>
      </c>
      <c r="W63" s="10"/>
      <c r="X63" s="5"/>
      <c r="Y63" s="7">
        <f t="shared" si="6"/>
        <v>29.848131754885614</v>
      </c>
      <c r="Z63" s="10">
        <f t="shared" si="4"/>
        <v>31.725747861630751</v>
      </c>
    </row>
    <row r="64" spans="1:26" x14ac:dyDescent="0.3">
      <c r="A64" s="2">
        <v>1960</v>
      </c>
      <c r="B64">
        <v>645.43543061111404</v>
      </c>
      <c r="C64">
        <v>591.90542313608898</v>
      </c>
      <c r="D64">
        <v>555.44235056780303</v>
      </c>
      <c r="E64">
        <v>569.25905192147104</v>
      </c>
      <c r="F64">
        <v>699.20566231053795</v>
      </c>
      <c r="G64">
        <v>829.79178535233802</v>
      </c>
      <c r="H64">
        <v>1049.13267417059</v>
      </c>
      <c r="I64">
        <v>387.85335785888202</v>
      </c>
      <c r="J64">
        <v>581.88481491732205</v>
      </c>
      <c r="K64">
        <v>472.97943709282202</v>
      </c>
      <c r="L64">
        <v>687.14747182452595</v>
      </c>
      <c r="M64">
        <v>620.05426863513105</v>
      </c>
      <c r="N64">
        <v>686.59691775209603</v>
      </c>
      <c r="O64">
        <v>703.42269156001498</v>
      </c>
      <c r="P64">
        <v>575.717937069556</v>
      </c>
      <c r="Q64">
        <v>363.44082639748302</v>
      </c>
      <c r="S64" s="5">
        <f t="shared" si="3"/>
        <v>626.20438132361107</v>
      </c>
      <c r="T64" s="5">
        <f t="shared" si="5"/>
        <v>575.60610991751207</v>
      </c>
      <c r="U64" s="5"/>
      <c r="V64" s="7">
        <v>626.69291302463</v>
      </c>
      <c r="W64" s="10"/>
      <c r="X64" s="5"/>
      <c r="Y64" s="7">
        <f t="shared" si="6"/>
        <v>22.678880730749974</v>
      </c>
      <c r="Z64" s="10">
        <f t="shared" si="4"/>
        <v>24.691700773170421</v>
      </c>
    </row>
    <row r="65" spans="1:26" x14ac:dyDescent="0.3">
      <c r="A65" s="2">
        <v>1961</v>
      </c>
      <c r="B65">
        <v>642.33495164589999</v>
      </c>
      <c r="C65">
        <v>604.95333160423502</v>
      </c>
      <c r="D65">
        <v>567.40562159042497</v>
      </c>
      <c r="E65">
        <v>578.46565642561302</v>
      </c>
      <c r="F65">
        <v>689.46962082835398</v>
      </c>
      <c r="G65">
        <v>817.66664640055103</v>
      </c>
      <c r="H65">
        <v>1026.1636996938701</v>
      </c>
      <c r="I65">
        <v>490.48240440690802</v>
      </c>
      <c r="J65">
        <v>660.87295410413503</v>
      </c>
      <c r="K65">
        <v>582.37020555479296</v>
      </c>
      <c r="L65">
        <v>779.70142851138303</v>
      </c>
      <c r="M65">
        <v>694.10742539232103</v>
      </c>
      <c r="N65">
        <v>694.22855936902704</v>
      </c>
      <c r="O65">
        <v>744.97056441074994</v>
      </c>
      <c r="P65">
        <v>611.33626077747397</v>
      </c>
      <c r="Q65">
        <v>443.38156394730998</v>
      </c>
      <c r="S65" s="5">
        <f t="shared" si="3"/>
        <v>664.24443091644071</v>
      </c>
      <c r="T65" s="5">
        <f t="shared" si="5"/>
        <v>642.00681764446608</v>
      </c>
      <c r="U65" s="5"/>
      <c r="V65" s="7">
        <v>645.42596648238805</v>
      </c>
      <c r="W65" s="10"/>
      <c r="X65" s="5"/>
      <c r="Y65" s="7">
        <f t="shared" si="6"/>
        <v>25.295068615191962</v>
      </c>
      <c r="Z65" s="10">
        <f t="shared" si="4"/>
        <v>25.429783079406089</v>
      </c>
    </row>
    <row r="66" spans="1:26" x14ac:dyDescent="0.3">
      <c r="A66" s="2">
        <v>1962</v>
      </c>
      <c r="B66">
        <v>939.004499593692</v>
      </c>
      <c r="C66">
        <v>871.805251279819</v>
      </c>
      <c r="D66">
        <v>813.77879830423103</v>
      </c>
      <c r="E66">
        <v>821.42267742312094</v>
      </c>
      <c r="F66">
        <v>985.99667964696903</v>
      </c>
      <c r="G66">
        <v>1135.74458962021</v>
      </c>
      <c r="H66">
        <v>1451.2108955127501</v>
      </c>
      <c r="I66">
        <v>636.64486009045197</v>
      </c>
      <c r="J66">
        <v>790.01527389316004</v>
      </c>
      <c r="K66">
        <v>776.35454456310799</v>
      </c>
      <c r="L66">
        <v>1087.43097273423</v>
      </c>
      <c r="M66">
        <v>905.03275027774305</v>
      </c>
      <c r="N66">
        <v>1018.58417348094</v>
      </c>
      <c r="O66">
        <v>1020.71923259903</v>
      </c>
      <c r="P66">
        <v>863.85925437422304</v>
      </c>
      <c r="Q66">
        <v>566.91773053209295</v>
      </c>
      <c r="S66" s="5">
        <f t="shared" si="3"/>
        <v>917.78263649536086</v>
      </c>
      <c r="T66" s="5">
        <f t="shared" si="5"/>
        <v>863.97986048709811</v>
      </c>
      <c r="U66" s="5"/>
      <c r="V66" s="7">
        <v>905.91793153113395</v>
      </c>
      <c r="W66" s="10"/>
      <c r="X66" s="5"/>
      <c r="Y66" s="7">
        <f t="shared" si="6"/>
        <v>34.040806503191661</v>
      </c>
      <c r="Z66" s="10">
        <f t="shared" si="4"/>
        <v>35.693166502326676</v>
      </c>
    </row>
    <row r="67" spans="1:26" x14ac:dyDescent="0.3">
      <c r="A67" s="2">
        <v>1963</v>
      </c>
      <c r="B67">
        <v>772.92377530395004</v>
      </c>
      <c r="C67">
        <v>729.91389933351502</v>
      </c>
      <c r="D67">
        <v>707.87588246538496</v>
      </c>
      <c r="E67">
        <v>728.52062288406705</v>
      </c>
      <c r="F67">
        <v>860.25150589822795</v>
      </c>
      <c r="G67">
        <v>962.05829129495999</v>
      </c>
      <c r="H67">
        <v>1190.2676925660001</v>
      </c>
      <c r="I67">
        <v>556.28635166147296</v>
      </c>
      <c r="J67">
        <v>765.077386111387</v>
      </c>
      <c r="K67">
        <v>656.23472290900304</v>
      </c>
      <c r="L67">
        <v>822.22785835624097</v>
      </c>
      <c r="M67">
        <v>867.85831117494797</v>
      </c>
      <c r="N67">
        <v>793.38907751494298</v>
      </c>
      <c r="O67">
        <v>894.57149825837303</v>
      </c>
      <c r="P67">
        <v>724.05264037382506</v>
      </c>
      <c r="Q67">
        <v>524.437366470955</v>
      </c>
      <c r="S67" s="5">
        <f t="shared" si="3"/>
        <v>784.7466801610783</v>
      </c>
      <c r="T67" s="5">
        <f t="shared" si="5"/>
        <v>746.33140573001117</v>
      </c>
      <c r="U67" s="5"/>
      <c r="V67" s="7">
        <v>775.98762109436802</v>
      </c>
      <c r="W67" s="10"/>
      <c r="X67" s="5"/>
      <c r="Y67" s="7">
        <f t="shared" si="6"/>
        <v>29.405457385762439</v>
      </c>
      <c r="Z67" s="10">
        <f t="shared" si="4"/>
        <v>30.573912271118097</v>
      </c>
    </row>
    <row r="68" spans="1:26" x14ac:dyDescent="0.3">
      <c r="A68" s="2">
        <v>1964</v>
      </c>
      <c r="B68">
        <v>942.740491423187</v>
      </c>
      <c r="C68">
        <v>889.89133106599502</v>
      </c>
      <c r="D68">
        <v>831.85993502156498</v>
      </c>
      <c r="E68">
        <v>819.78719170803095</v>
      </c>
      <c r="F68">
        <v>957.59091290717799</v>
      </c>
      <c r="G68">
        <v>1032.98367089358</v>
      </c>
      <c r="H68">
        <v>1276.66637260223</v>
      </c>
      <c r="I68">
        <v>580.02600825010597</v>
      </c>
      <c r="J68">
        <v>811.10924510613199</v>
      </c>
      <c r="K68">
        <v>685.72466181458503</v>
      </c>
      <c r="L68">
        <v>1000.7445781686901</v>
      </c>
      <c r="M68">
        <v>906.94452252617998</v>
      </c>
      <c r="N68">
        <v>886.12565406046099</v>
      </c>
      <c r="O68">
        <v>984.66169676837603</v>
      </c>
      <c r="P68">
        <v>785.39679178087295</v>
      </c>
      <c r="Q68">
        <v>565.71931397933497</v>
      </c>
      <c r="S68" s="5">
        <f t="shared" si="3"/>
        <v>872.37327362978158</v>
      </c>
      <c r="T68" s="5">
        <f t="shared" si="5"/>
        <v>818.05407102544484</v>
      </c>
      <c r="U68" s="5"/>
      <c r="V68" s="7">
        <v>865.21001899910004</v>
      </c>
      <c r="W68" s="10"/>
      <c r="X68" s="5"/>
      <c r="Y68" s="7">
        <f t="shared" si="6"/>
        <v>32.231330398402527</v>
      </c>
      <c r="Z68" s="10">
        <f t="shared" si="4"/>
        <v>34.089274748564542</v>
      </c>
    </row>
    <row r="69" spans="1:26" x14ac:dyDescent="0.3">
      <c r="A69" s="2">
        <v>1965</v>
      </c>
      <c r="B69">
        <v>1163.5793610983201</v>
      </c>
      <c r="C69">
        <v>1103.1340590847501</v>
      </c>
      <c r="D69">
        <v>1050.81183257201</v>
      </c>
      <c r="E69">
        <v>1060.28374053161</v>
      </c>
      <c r="F69">
        <v>1210.9979270516301</v>
      </c>
      <c r="G69">
        <v>1341.24538103599</v>
      </c>
      <c r="H69">
        <v>1682.4485637216601</v>
      </c>
      <c r="I69">
        <v>747.399168285315</v>
      </c>
      <c r="J69">
        <v>997.30798441266199</v>
      </c>
      <c r="K69">
        <v>894.82111259886005</v>
      </c>
      <c r="L69">
        <v>1155.4281581979101</v>
      </c>
      <c r="M69">
        <v>1006.14791230556</v>
      </c>
      <c r="N69">
        <v>1215.5249559712199</v>
      </c>
      <c r="O69">
        <v>1166.2023209363999</v>
      </c>
      <c r="P69">
        <v>1046.66440739159</v>
      </c>
      <c r="Q69">
        <v>687.33079372903705</v>
      </c>
      <c r="S69" s="5">
        <f t="shared" si="3"/>
        <v>1095.5829799327828</v>
      </c>
      <c r="T69" s="5">
        <f t="shared" ref="T69:T100" si="7">(B69*$B$3)+(C69*$C$3)+(D69*$D$3)+(E69*$E$3)+(F69*$F$3)+(G69*$G$3)+(H69*$H$3)+(I69*$I$3)+(J69*$J$3)+(K69*$K$3)+(L69*$L$3)+(M69*$M$3)+(N69*$N$3)+(O69*$O$3)+(P69*$P$3)+(Q69*$Q$3)</f>
        <v>1006.2290216490832</v>
      </c>
      <c r="U69" s="5"/>
      <c r="V69" s="7">
        <v>1100.76333094701</v>
      </c>
      <c r="W69" s="10"/>
      <c r="X69" s="5"/>
      <c r="Y69" s="7">
        <f t="shared" ref="Y69:Y100" si="8">T69*0.0394</f>
        <v>39.645423452973873</v>
      </c>
      <c r="Z69" s="10">
        <f t="shared" si="4"/>
        <v>43.370075239312193</v>
      </c>
    </row>
    <row r="70" spans="1:26" x14ac:dyDescent="0.3">
      <c r="A70" s="2">
        <v>1966</v>
      </c>
      <c r="B70">
        <v>663.06063101876805</v>
      </c>
      <c r="C70">
        <v>623.61223399301605</v>
      </c>
      <c r="D70">
        <v>595.30683247289403</v>
      </c>
      <c r="E70">
        <v>611.33040516607502</v>
      </c>
      <c r="F70">
        <v>723.889574503105</v>
      </c>
      <c r="G70">
        <v>828.44513086259803</v>
      </c>
      <c r="H70">
        <v>1078.63433465548</v>
      </c>
      <c r="I70">
        <v>434.962869794477</v>
      </c>
      <c r="J70">
        <v>592.69440283839697</v>
      </c>
      <c r="K70">
        <v>512.81542544640104</v>
      </c>
      <c r="L70">
        <v>722.99978035485105</v>
      </c>
      <c r="M70">
        <v>667.44117075747602</v>
      </c>
      <c r="N70">
        <v>685.625601190873</v>
      </c>
      <c r="O70">
        <v>744.31697520799298</v>
      </c>
      <c r="P70">
        <v>598.94221575223196</v>
      </c>
      <c r="Q70">
        <v>414.72669517987799</v>
      </c>
      <c r="S70" s="5">
        <f t="shared" ref="S70:S129" si="9">AVERAGE(B70:Q70)</f>
        <v>656.17526744965699</v>
      </c>
      <c r="T70" s="5">
        <f t="shared" si="7"/>
        <v>610.22599340626857</v>
      </c>
      <c r="U70" s="5"/>
      <c r="V70" s="7">
        <v>656.49658155114798</v>
      </c>
      <c r="W70" s="10"/>
      <c r="X70" s="5"/>
      <c r="Y70" s="7">
        <f t="shared" si="8"/>
        <v>24.042904140206979</v>
      </c>
      <c r="Z70" s="10">
        <f t="shared" ref="Z70:Z126" si="10">V70*0.0394</f>
        <v>25.865965313115229</v>
      </c>
    </row>
    <row r="71" spans="1:26" x14ac:dyDescent="0.3">
      <c r="A71" s="2">
        <v>1967</v>
      </c>
      <c r="B71">
        <v>900.77918318344905</v>
      </c>
      <c r="C71">
        <v>843.11062606929102</v>
      </c>
      <c r="D71">
        <v>794.96752131674702</v>
      </c>
      <c r="E71">
        <v>804.395426286457</v>
      </c>
      <c r="F71">
        <v>968.47578502875899</v>
      </c>
      <c r="G71">
        <v>1135.1464080599301</v>
      </c>
      <c r="H71">
        <v>1399.55681073553</v>
      </c>
      <c r="I71">
        <v>644.27375424472802</v>
      </c>
      <c r="J71">
        <v>872.65824711555194</v>
      </c>
      <c r="K71">
        <v>780.79530658799194</v>
      </c>
      <c r="L71">
        <v>1009.60714076009</v>
      </c>
      <c r="M71">
        <v>920.83735619694903</v>
      </c>
      <c r="N71">
        <v>944.36155167066295</v>
      </c>
      <c r="O71">
        <v>994.12729523385099</v>
      </c>
      <c r="P71">
        <v>834.73803803886699</v>
      </c>
      <c r="Q71">
        <v>594.820432916046</v>
      </c>
      <c r="S71" s="5">
        <f t="shared" si="9"/>
        <v>902.66568021530645</v>
      </c>
      <c r="T71" s="5">
        <f t="shared" si="7"/>
        <v>858.73198873675528</v>
      </c>
      <c r="U71" s="5"/>
      <c r="V71" s="7">
        <v>889.31487468544196</v>
      </c>
      <c r="W71" s="10"/>
      <c r="X71" s="5"/>
      <c r="Y71" s="7">
        <f t="shared" si="8"/>
        <v>33.834040356228158</v>
      </c>
      <c r="Z71" s="10">
        <f t="shared" si="10"/>
        <v>35.039006062606411</v>
      </c>
    </row>
    <row r="72" spans="1:26" x14ac:dyDescent="0.3">
      <c r="A72" s="2">
        <v>1968</v>
      </c>
      <c r="B72">
        <v>1001.75743439117</v>
      </c>
      <c r="C72">
        <v>940.48027358672596</v>
      </c>
      <c r="D72">
        <v>886.81995125093499</v>
      </c>
      <c r="E72">
        <v>892.273825980315</v>
      </c>
      <c r="F72">
        <v>1037.1409507020501</v>
      </c>
      <c r="G72">
        <v>1163.5353551641799</v>
      </c>
      <c r="H72">
        <v>1423.5016466586601</v>
      </c>
      <c r="I72">
        <v>655.70955412967601</v>
      </c>
      <c r="J72">
        <v>808.90862829151502</v>
      </c>
      <c r="K72">
        <v>796.366212492248</v>
      </c>
      <c r="L72">
        <v>1058.5797232884699</v>
      </c>
      <c r="M72">
        <v>994.25616129783498</v>
      </c>
      <c r="N72">
        <v>1019.17090060073</v>
      </c>
      <c r="O72">
        <v>1077.6705436243001</v>
      </c>
      <c r="P72">
        <v>871.069089392053</v>
      </c>
      <c r="Q72">
        <v>637.16549934192597</v>
      </c>
      <c r="S72" s="5">
        <f t="shared" si="9"/>
        <v>954.02535938704943</v>
      </c>
      <c r="T72" s="5">
        <f t="shared" si="7"/>
        <v>896.78564627753144</v>
      </c>
      <c r="U72" s="5"/>
      <c r="V72" s="7">
        <v>951.08416101792795</v>
      </c>
      <c r="W72" s="10"/>
      <c r="X72" s="5"/>
      <c r="Y72" s="7">
        <f t="shared" si="8"/>
        <v>35.333354463334736</v>
      </c>
      <c r="Z72" s="10">
        <f t="shared" si="10"/>
        <v>37.472715944106362</v>
      </c>
    </row>
    <row r="73" spans="1:26" x14ac:dyDescent="0.3">
      <c r="A73" s="2">
        <v>1969</v>
      </c>
      <c r="B73">
        <v>949.008843421753</v>
      </c>
      <c r="C73">
        <v>881.47647317281701</v>
      </c>
      <c r="D73">
        <v>834.25544209680697</v>
      </c>
      <c r="E73">
        <v>858.05421116410605</v>
      </c>
      <c r="F73">
        <v>1045.9539236880701</v>
      </c>
      <c r="G73">
        <v>1219.39803659462</v>
      </c>
      <c r="H73">
        <v>1534.5276267909701</v>
      </c>
      <c r="I73">
        <v>614.43677493018595</v>
      </c>
      <c r="J73">
        <v>760.18251837748198</v>
      </c>
      <c r="K73">
        <v>748.16232995925702</v>
      </c>
      <c r="L73">
        <v>1064.6358814443299</v>
      </c>
      <c r="M73">
        <v>947.04782569884196</v>
      </c>
      <c r="N73">
        <v>1054.8181822438901</v>
      </c>
      <c r="O73">
        <v>1079.20360649652</v>
      </c>
      <c r="P73">
        <v>894.85087971394296</v>
      </c>
      <c r="Q73">
        <v>586.29502963993002</v>
      </c>
      <c r="S73" s="5">
        <f t="shared" si="9"/>
        <v>942.01922408959524</v>
      </c>
      <c r="T73" s="5">
        <f t="shared" si="7"/>
        <v>876.02506006460624</v>
      </c>
      <c r="U73" s="5"/>
      <c r="V73" s="7">
        <v>946.618749405828</v>
      </c>
      <c r="W73" s="10"/>
      <c r="X73" s="5"/>
      <c r="Y73" s="7">
        <f t="shared" si="8"/>
        <v>34.515387366545482</v>
      </c>
      <c r="Z73" s="10">
        <f t="shared" si="10"/>
        <v>37.296778726589622</v>
      </c>
    </row>
    <row r="74" spans="1:26" x14ac:dyDescent="0.3">
      <c r="A74" s="2">
        <v>1970</v>
      </c>
      <c r="B74">
        <v>950.28949676801005</v>
      </c>
      <c r="C74">
        <v>893.55678793655795</v>
      </c>
      <c r="D74">
        <v>833.86686098222901</v>
      </c>
      <c r="E74">
        <v>832.32480002618001</v>
      </c>
      <c r="F74">
        <v>987.49719349832503</v>
      </c>
      <c r="G74">
        <v>1119.4042920229499</v>
      </c>
      <c r="H74">
        <v>1408.79387407746</v>
      </c>
      <c r="I74">
        <v>596.64448298963305</v>
      </c>
      <c r="J74">
        <v>713.99616288912296</v>
      </c>
      <c r="K74">
        <v>733.604562509365</v>
      </c>
      <c r="L74">
        <v>1010.05221813286</v>
      </c>
      <c r="M74">
        <v>918.052590243488</v>
      </c>
      <c r="N74">
        <v>936.93088005774905</v>
      </c>
      <c r="O74">
        <v>1003.16203217414</v>
      </c>
      <c r="P74">
        <v>814.11150087692295</v>
      </c>
      <c r="Q74">
        <v>574.91232382510896</v>
      </c>
      <c r="S74" s="5">
        <f t="shared" si="9"/>
        <v>895.45000368813123</v>
      </c>
      <c r="T74" s="5">
        <f t="shared" si="7"/>
        <v>831.99498400719085</v>
      </c>
      <c r="U74" s="5"/>
      <c r="V74" s="7">
        <v>896.94382809093099</v>
      </c>
      <c r="W74" s="10"/>
      <c r="X74" s="5"/>
      <c r="Y74" s="7">
        <f t="shared" si="8"/>
        <v>32.780602369883319</v>
      </c>
      <c r="Z74" s="10">
        <f t="shared" si="10"/>
        <v>35.339586826782678</v>
      </c>
    </row>
    <row r="75" spans="1:26" x14ac:dyDescent="0.3">
      <c r="A75" s="2">
        <v>1971</v>
      </c>
      <c r="B75">
        <v>1013.11624175408</v>
      </c>
      <c r="C75">
        <v>935.48732450545799</v>
      </c>
      <c r="D75">
        <v>859.83770917790002</v>
      </c>
      <c r="E75">
        <v>858.29417513063004</v>
      </c>
      <c r="F75">
        <v>1000.44968950448</v>
      </c>
      <c r="G75">
        <v>1134.2487450590299</v>
      </c>
      <c r="H75">
        <v>1414.9316683617801</v>
      </c>
      <c r="I75">
        <v>705.90311600120697</v>
      </c>
      <c r="J75">
        <v>951.20159967700101</v>
      </c>
      <c r="K75">
        <v>877.17960228061202</v>
      </c>
      <c r="L75">
        <v>1202.8156136042501</v>
      </c>
      <c r="M75">
        <v>919.53117059688304</v>
      </c>
      <c r="N75">
        <v>1105.77204691869</v>
      </c>
      <c r="O75">
        <v>1026.0765355931301</v>
      </c>
      <c r="P75">
        <v>936.96380954321205</v>
      </c>
      <c r="Q75">
        <v>599.36567772356398</v>
      </c>
      <c r="S75" s="5">
        <f t="shared" si="9"/>
        <v>971.32342033949442</v>
      </c>
      <c r="T75" s="5">
        <f t="shared" si="7"/>
        <v>930.91466640399165</v>
      </c>
      <c r="U75" s="5"/>
      <c r="V75" s="7">
        <v>936.51039318423705</v>
      </c>
      <c r="W75" s="10"/>
      <c r="X75" s="5"/>
      <c r="Y75" s="7">
        <f t="shared" si="8"/>
        <v>36.678037856317268</v>
      </c>
      <c r="Z75" s="10">
        <f t="shared" si="10"/>
        <v>36.898509491458938</v>
      </c>
    </row>
    <row r="76" spans="1:26" x14ac:dyDescent="0.3">
      <c r="A76" s="2">
        <v>1972</v>
      </c>
      <c r="B76">
        <v>872.57965631931904</v>
      </c>
      <c r="C76">
        <v>816.82530061994999</v>
      </c>
      <c r="D76">
        <v>767.06601590366404</v>
      </c>
      <c r="E76">
        <v>782.51178840811497</v>
      </c>
      <c r="F76">
        <v>935.82801902839401</v>
      </c>
      <c r="G76">
        <v>1072.80158671961</v>
      </c>
      <c r="H76">
        <v>1355.88330617771</v>
      </c>
      <c r="I76">
        <v>650.23429145147804</v>
      </c>
      <c r="J76">
        <v>922.46788359330799</v>
      </c>
      <c r="K76">
        <v>818.24418124593103</v>
      </c>
      <c r="L76">
        <v>1116.62519258764</v>
      </c>
      <c r="M76">
        <v>813.84777976552505</v>
      </c>
      <c r="N76">
        <v>1029.5379781745901</v>
      </c>
      <c r="O76">
        <v>904.70762686016997</v>
      </c>
      <c r="P76">
        <v>851.37755260543395</v>
      </c>
      <c r="Q76">
        <v>526.80870758881804</v>
      </c>
      <c r="S76" s="5">
        <f t="shared" si="9"/>
        <v>889.83417919060355</v>
      </c>
      <c r="T76" s="5">
        <f t="shared" si="7"/>
        <v>853.56136506627695</v>
      </c>
      <c r="U76" s="5"/>
      <c r="V76" s="7">
        <v>851.17093730293504</v>
      </c>
      <c r="W76" s="10"/>
      <c r="X76" s="5"/>
      <c r="Y76" s="7">
        <f t="shared" si="8"/>
        <v>33.630317783611311</v>
      </c>
      <c r="Z76" s="10">
        <f t="shared" si="10"/>
        <v>33.536134929735638</v>
      </c>
    </row>
    <row r="77" spans="1:26" x14ac:dyDescent="0.3">
      <c r="A77" s="2">
        <v>1973</v>
      </c>
      <c r="B77">
        <v>1011.25198198533</v>
      </c>
      <c r="C77">
        <v>950.73130000904803</v>
      </c>
      <c r="D77">
        <v>884.35937799251406</v>
      </c>
      <c r="E77">
        <v>888.20340719829198</v>
      </c>
      <c r="F77">
        <v>1026.5405213537799</v>
      </c>
      <c r="G77">
        <v>1158.6771891651399</v>
      </c>
      <c r="H77">
        <v>1428.6630123509301</v>
      </c>
      <c r="I77">
        <v>704.16678788218996</v>
      </c>
      <c r="J77">
        <v>812.92826522451503</v>
      </c>
      <c r="K77">
        <v>823.73808845026497</v>
      </c>
      <c r="L77">
        <v>1158.24416437782</v>
      </c>
      <c r="M77">
        <v>1016.38234014455</v>
      </c>
      <c r="N77">
        <v>1089.20844504913</v>
      </c>
      <c r="O77">
        <v>1116.29166180521</v>
      </c>
      <c r="P77">
        <v>940.68318890203898</v>
      </c>
      <c r="Q77">
        <v>675.98081778239305</v>
      </c>
      <c r="S77" s="5">
        <f t="shared" si="9"/>
        <v>980.37815935457161</v>
      </c>
      <c r="T77" s="5">
        <f t="shared" si="7"/>
        <v>935.70925862788386</v>
      </c>
      <c r="U77" s="5"/>
      <c r="V77" s="7">
        <v>969.80731313067804</v>
      </c>
      <c r="W77" s="10"/>
      <c r="X77" s="5"/>
      <c r="Y77" s="7">
        <f t="shared" si="8"/>
        <v>36.866944789938621</v>
      </c>
      <c r="Z77" s="10">
        <f t="shared" si="10"/>
        <v>38.210408137348715</v>
      </c>
    </row>
    <row r="78" spans="1:26" x14ac:dyDescent="0.3">
      <c r="A78" s="2">
        <v>1974</v>
      </c>
      <c r="B78">
        <v>827.42462440662996</v>
      </c>
      <c r="C78">
        <v>759.98688758512799</v>
      </c>
      <c r="D78">
        <v>699.56721757863897</v>
      </c>
      <c r="E78">
        <v>698.15191780458599</v>
      </c>
      <c r="F78">
        <v>846.22629113148196</v>
      </c>
      <c r="G78">
        <v>979.73146090853004</v>
      </c>
      <c r="H78">
        <v>1243.87984384366</v>
      </c>
      <c r="I78">
        <v>538.62498654290005</v>
      </c>
      <c r="J78">
        <v>823.68671040928302</v>
      </c>
      <c r="K78">
        <v>652.89658434411604</v>
      </c>
      <c r="L78">
        <v>994.33673917568501</v>
      </c>
      <c r="M78">
        <v>767.54793588106202</v>
      </c>
      <c r="N78">
        <v>875.922306453896</v>
      </c>
      <c r="O78">
        <v>848.56779159215398</v>
      </c>
      <c r="P78">
        <v>741.77498159355696</v>
      </c>
      <c r="Q78">
        <v>465.79111576363499</v>
      </c>
      <c r="S78" s="5">
        <f t="shared" si="9"/>
        <v>797.75733718843401</v>
      </c>
      <c r="T78" s="5">
        <f t="shared" si="7"/>
        <v>754.82991487686434</v>
      </c>
      <c r="U78" s="5"/>
      <c r="V78" s="7">
        <v>770.93995955487105</v>
      </c>
      <c r="W78" s="10"/>
      <c r="X78" s="5"/>
      <c r="Y78" s="7">
        <f t="shared" si="8"/>
        <v>29.740298646148453</v>
      </c>
      <c r="Z78" s="10">
        <f t="shared" si="10"/>
        <v>30.375034406461918</v>
      </c>
    </row>
    <row r="79" spans="1:26" x14ac:dyDescent="0.3">
      <c r="A79" s="2">
        <v>1975</v>
      </c>
      <c r="B79">
        <v>1047.2194542994</v>
      </c>
      <c r="C79">
        <v>969.19044764874695</v>
      </c>
      <c r="D79">
        <v>905.27530807518599</v>
      </c>
      <c r="E79">
        <v>907.01826630242397</v>
      </c>
      <c r="F79">
        <v>1075.6042458818099</v>
      </c>
      <c r="G79">
        <v>1216.6823615779999</v>
      </c>
      <c r="H79">
        <v>1529.4028210029501</v>
      </c>
      <c r="I79">
        <v>683.67917375883997</v>
      </c>
      <c r="J79">
        <v>882.18883763834401</v>
      </c>
      <c r="K79">
        <v>817.00918029918603</v>
      </c>
      <c r="L79">
        <v>1174.5209244540799</v>
      </c>
      <c r="M79">
        <v>1005.91700416175</v>
      </c>
      <c r="N79">
        <v>1143.1650670716899</v>
      </c>
      <c r="O79">
        <v>1121.6323686694</v>
      </c>
      <c r="P79">
        <v>969.31421870985298</v>
      </c>
      <c r="Q79">
        <v>640.44306042685196</v>
      </c>
      <c r="S79" s="5">
        <f t="shared" si="9"/>
        <v>1005.516421248657</v>
      </c>
      <c r="T79" s="5">
        <f t="shared" si="7"/>
        <v>946.68446794209626</v>
      </c>
      <c r="U79" s="5"/>
      <c r="V79" s="7">
        <v>991.66054047672901</v>
      </c>
      <c r="W79" s="10"/>
      <c r="X79" s="5"/>
      <c r="Y79" s="7">
        <f t="shared" si="8"/>
        <v>37.299368036918594</v>
      </c>
      <c r="Z79" s="10">
        <f t="shared" si="10"/>
        <v>39.071425294783118</v>
      </c>
    </row>
    <row r="80" spans="1:26" x14ac:dyDescent="0.3">
      <c r="A80" s="2">
        <v>1976</v>
      </c>
      <c r="B80">
        <v>757.11787919296603</v>
      </c>
      <c r="C80">
        <v>715.15876233885297</v>
      </c>
      <c r="D80">
        <v>679.59573119227503</v>
      </c>
      <c r="E80">
        <v>679.660372792933</v>
      </c>
      <c r="F80">
        <v>780.72629336713101</v>
      </c>
      <c r="G80">
        <v>853.30725850819999</v>
      </c>
      <c r="H80">
        <v>1086.3069016227601</v>
      </c>
      <c r="I80">
        <v>590.49140397180997</v>
      </c>
      <c r="J80">
        <v>912.15782058547995</v>
      </c>
      <c r="K80">
        <v>725.00131037284996</v>
      </c>
      <c r="L80">
        <v>1047.9411952205401</v>
      </c>
      <c r="M80">
        <v>717.62670142264994</v>
      </c>
      <c r="N80">
        <v>899.47478678694699</v>
      </c>
      <c r="O80">
        <v>797.58669038879304</v>
      </c>
      <c r="P80">
        <v>756.65709663398104</v>
      </c>
      <c r="Q80">
        <v>499.06779373648902</v>
      </c>
      <c r="S80" s="5">
        <f t="shared" si="9"/>
        <v>781.11737488341612</v>
      </c>
      <c r="T80" s="5">
        <f t="shared" si="7"/>
        <v>771.24544152165163</v>
      </c>
      <c r="U80" s="5"/>
      <c r="V80" s="7">
        <v>729.07287634443003</v>
      </c>
      <c r="W80" s="10"/>
      <c r="X80" s="5"/>
      <c r="Y80" s="7">
        <f t="shared" si="8"/>
        <v>30.387070395953071</v>
      </c>
      <c r="Z80" s="10">
        <f t="shared" si="10"/>
        <v>28.725471327970542</v>
      </c>
    </row>
    <row r="81" spans="1:26" x14ac:dyDescent="0.3">
      <c r="A81" s="2">
        <v>1977</v>
      </c>
      <c r="B81">
        <v>630.64096019184899</v>
      </c>
      <c r="C81">
        <v>603.53120814209296</v>
      </c>
      <c r="D81">
        <v>576.06515549319795</v>
      </c>
      <c r="E81">
        <v>585.723957492409</v>
      </c>
      <c r="F81">
        <v>690.78565363544999</v>
      </c>
      <c r="G81">
        <v>778.69909481985906</v>
      </c>
      <c r="H81">
        <v>966.89720768318602</v>
      </c>
      <c r="I81">
        <v>433.56201528397702</v>
      </c>
      <c r="J81">
        <v>543.16159341392995</v>
      </c>
      <c r="K81">
        <v>497.90749654324799</v>
      </c>
      <c r="L81">
        <v>650.62192795594501</v>
      </c>
      <c r="M81">
        <v>656.05005705014003</v>
      </c>
      <c r="N81">
        <v>653.19482837397697</v>
      </c>
      <c r="O81">
        <v>686.23996882249298</v>
      </c>
      <c r="P81">
        <v>549.22006517866498</v>
      </c>
      <c r="Q81">
        <v>431.60185074263399</v>
      </c>
      <c r="S81" s="5">
        <f t="shared" si="9"/>
        <v>620.86894005144086</v>
      </c>
      <c r="T81" s="5">
        <f t="shared" si="7"/>
        <v>578.90849860240337</v>
      </c>
      <c r="U81" s="5"/>
      <c r="V81" s="7">
        <v>620.294185858216</v>
      </c>
      <c r="W81" s="10"/>
      <c r="X81" s="5"/>
      <c r="Y81" s="7">
        <f t="shared" si="8"/>
        <v>22.808994844934691</v>
      </c>
      <c r="Z81" s="10">
        <f t="shared" si="10"/>
        <v>24.439590922813707</v>
      </c>
    </row>
    <row r="82" spans="1:26" x14ac:dyDescent="0.3">
      <c r="A82" s="2">
        <v>1978</v>
      </c>
      <c r="B82">
        <v>1057.4733889706899</v>
      </c>
      <c r="C82">
        <v>985.43939607435902</v>
      </c>
      <c r="D82">
        <v>934.88401250492598</v>
      </c>
      <c r="E82">
        <v>949.83691594563402</v>
      </c>
      <c r="F82">
        <v>1109.4337507023999</v>
      </c>
      <c r="G82">
        <v>1217.68248241018</v>
      </c>
      <c r="H82">
        <v>1533.3666965242001</v>
      </c>
      <c r="I82">
        <v>713.12414193367295</v>
      </c>
      <c r="J82">
        <v>1061.7151588368799</v>
      </c>
      <c r="K82">
        <v>852.60111179079399</v>
      </c>
      <c r="L82">
        <v>1231.6006597211299</v>
      </c>
      <c r="M82">
        <v>993.41570562563095</v>
      </c>
      <c r="N82">
        <v>1076.4899010167301</v>
      </c>
      <c r="O82">
        <v>1135.0147104350699</v>
      </c>
      <c r="P82">
        <v>963.36174269458502</v>
      </c>
      <c r="Q82">
        <v>648.29873662372802</v>
      </c>
      <c r="S82" s="5">
        <f t="shared" si="9"/>
        <v>1028.9836569881634</v>
      </c>
      <c r="T82" s="5">
        <f t="shared" si="7"/>
        <v>978.64279631451257</v>
      </c>
      <c r="U82" s="5"/>
      <c r="V82" s="7">
        <v>1011.07186754107</v>
      </c>
      <c r="W82" s="10"/>
      <c r="X82" s="5"/>
      <c r="Y82" s="7">
        <f t="shared" si="8"/>
        <v>38.558526174791794</v>
      </c>
      <c r="Z82" s="10">
        <f t="shared" si="10"/>
        <v>39.836231581118156</v>
      </c>
    </row>
    <row r="83" spans="1:26" x14ac:dyDescent="0.3">
      <c r="A83" s="2">
        <v>1979</v>
      </c>
      <c r="B83">
        <v>636.821962201151</v>
      </c>
      <c r="C83">
        <v>594.84171245524601</v>
      </c>
      <c r="D83">
        <v>569.51373857166197</v>
      </c>
      <c r="E83">
        <v>584.72216880509905</v>
      </c>
      <c r="F83">
        <v>727.41085534645697</v>
      </c>
      <c r="G83">
        <v>852.03347445479199</v>
      </c>
      <c r="H83">
        <v>1087.1057200273599</v>
      </c>
      <c r="I83">
        <v>463.666215088569</v>
      </c>
      <c r="J83">
        <v>644.81564077798805</v>
      </c>
      <c r="K83">
        <v>578.52702972895304</v>
      </c>
      <c r="L83">
        <v>784.36090605544302</v>
      </c>
      <c r="M83">
        <v>651.06986791750603</v>
      </c>
      <c r="N83">
        <v>768.66353414868104</v>
      </c>
      <c r="O83">
        <v>740.74738967438202</v>
      </c>
      <c r="P83">
        <v>672.02842767807795</v>
      </c>
      <c r="Q83">
        <v>409.14975731329503</v>
      </c>
      <c r="S83" s="5">
        <f t="shared" si="9"/>
        <v>672.84240001529133</v>
      </c>
      <c r="T83" s="5">
        <f t="shared" si="7"/>
        <v>640.00486038592931</v>
      </c>
      <c r="U83" s="5"/>
      <c r="V83" s="7">
        <v>660.874292251219</v>
      </c>
      <c r="W83" s="10"/>
      <c r="X83" s="5"/>
      <c r="Y83" s="7">
        <f t="shared" si="8"/>
        <v>25.216191499205614</v>
      </c>
      <c r="Z83" s="10">
        <f t="shared" si="10"/>
        <v>26.038447114698027</v>
      </c>
    </row>
    <row r="84" spans="1:26" x14ac:dyDescent="0.3">
      <c r="A84" s="2">
        <v>1980</v>
      </c>
      <c r="B84">
        <v>977.44271121680299</v>
      </c>
      <c r="C84">
        <v>922.25232966081796</v>
      </c>
      <c r="D84">
        <v>881.43132579238602</v>
      </c>
      <c r="E84">
        <v>903.85971864576095</v>
      </c>
      <c r="F84">
        <v>1098.1010950002001</v>
      </c>
      <c r="G84">
        <v>1275.0514408324</v>
      </c>
      <c r="H84">
        <v>1612.2877762399501</v>
      </c>
      <c r="I84">
        <v>724.824068881416</v>
      </c>
      <c r="J84">
        <v>927.56779408246598</v>
      </c>
      <c r="K84">
        <v>870.91258944735205</v>
      </c>
      <c r="L84">
        <v>1117.76001400771</v>
      </c>
      <c r="M84">
        <v>924.72568625452004</v>
      </c>
      <c r="N84">
        <v>1085.65458501792</v>
      </c>
      <c r="O84">
        <v>1045.6486605919399</v>
      </c>
      <c r="P84">
        <v>959.50690392024296</v>
      </c>
      <c r="Q84">
        <v>657.55580823984701</v>
      </c>
      <c r="S84" s="5">
        <f t="shared" si="9"/>
        <v>999.03640673948325</v>
      </c>
      <c r="T84" s="5">
        <f t="shared" si="7"/>
        <v>939.41501657576498</v>
      </c>
      <c r="U84" s="5"/>
      <c r="V84" s="7">
        <v>994.10826867744697</v>
      </c>
      <c r="W84" s="10"/>
      <c r="X84" s="5"/>
      <c r="Y84" s="7">
        <f t="shared" si="8"/>
        <v>37.012951653085139</v>
      </c>
      <c r="Z84" s="10">
        <f t="shared" si="10"/>
        <v>39.167865785891408</v>
      </c>
    </row>
    <row r="85" spans="1:26" x14ac:dyDescent="0.3">
      <c r="A85" s="2">
        <v>1981</v>
      </c>
      <c r="B85">
        <v>775.29857625392594</v>
      </c>
      <c r="C85">
        <v>750.026500534408</v>
      </c>
      <c r="D85">
        <v>714.98390134037595</v>
      </c>
      <c r="E85">
        <v>723.52909788920897</v>
      </c>
      <c r="F85">
        <v>859.15450782849496</v>
      </c>
      <c r="G85">
        <v>981.49429447739794</v>
      </c>
      <c r="H85">
        <v>1214.53696368805</v>
      </c>
      <c r="I85">
        <v>437.31196340029697</v>
      </c>
      <c r="J85">
        <v>611.52361281195101</v>
      </c>
      <c r="K85">
        <v>509.52623945283398</v>
      </c>
      <c r="L85">
        <v>674.03078737835494</v>
      </c>
      <c r="M85">
        <v>781.99217747530804</v>
      </c>
      <c r="N85">
        <v>629.57631687064304</v>
      </c>
      <c r="O85">
        <v>848.27877365858399</v>
      </c>
      <c r="P85">
        <v>573.94553642332096</v>
      </c>
      <c r="Q85">
        <v>558.57643302960696</v>
      </c>
      <c r="S85" s="5">
        <f t="shared" si="9"/>
        <v>727.73660515704773</v>
      </c>
      <c r="T85" s="5">
        <f t="shared" si="7"/>
        <v>659.76638108291297</v>
      </c>
      <c r="U85" s="5"/>
      <c r="V85" s="7">
        <v>760.18041950918405</v>
      </c>
      <c r="W85" s="10"/>
      <c r="X85" s="5"/>
      <c r="Y85" s="7">
        <f t="shared" si="8"/>
        <v>25.994795414666768</v>
      </c>
      <c r="Z85" s="10">
        <f t="shared" si="10"/>
        <v>29.951108528661848</v>
      </c>
    </row>
    <row r="86" spans="1:26" x14ac:dyDescent="0.3">
      <c r="A86" s="2">
        <v>1982</v>
      </c>
      <c r="B86">
        <v>1297.66419032166</v>
      </c>
      <c r="C86">
        <v>1235.3505588809701</v>
      </c>
      <c r="D86">
        <v>1178.9564685207799</v>
      </c>
      <c r="E86">
        <v>1209.23880426953</v>
      </c>
      <c r="F86">
        <v>1461.86035401762</v>
      </c>
      <c r="G86">
        <v>1701.6543116354901</v>
      </c>
      <c r="H86">
        <v>2130.7584549099302</v>
      </c>
      <c r="I86">
        <v>947.43627296975501</v>
      </c>
      <c r="J86">
        <v>1220.1913742889101</v>
      </c>
      <c r="K86">
        <v>1161.4826360662701</v>
      </c>
      <c r="L86">
        <v>1444.52953634409</v>
      </c>
      <c r="M86">
        <v>1201.28013472165</v>
      </c>
      <c r="N86">
        <v>1408.3597077684699</v>
      </c>
      <c r="O86">
        <v>1369.0978638507199</v>
      </c>
      <c r="P86">
        <v>1219.2943279607</v>
      </c>
      <c r="Q86">
        <v>819.47849385445704</v>
      </c>
      <c r="S86" s="5">
        <f t="shared" si="9"/>
        <v>1312.9145931488126</v>
      </c>
      <c r="T86" s="5">
        <f t="shared" si="7"/>
        <v>1223.6890837599151</v>
      </c>
      <c r="U86" s="5"/>
      <c r="V86" s="7">
        <v>1305.3950960601801</v>
      </c>
      <c r="W86" s="10"/>
      <c r="X86" s="5"/>
      <c r="Y86" s="7">
        <f t="shared" si="8"/>
        <v>48.213349900140649</v>
      </c>
      <c r="Z86" s="10">
        <f t="shared" si="10"/>
        <v>51.43256678477109</v>
      </c>
    </row>
    <row r="87" spans="1:26" x14ac:dyDescent="0.3">
      <c r="A87" s="2">
        <v>1983</v>
      </c>
      <c r="B87">
        <v>1140.28585769298</v>
      </c>
      <c r="C87">
        <v>1087.1215277046599</v>
      </c>
      <c r="D87">
        <v>1033.5016705542</v>
      </c>
      <c r="E87">
        <v>1043.3858073383501</v>
      </c>
      <c r="F87">
        <v>1272.99755119837</v>
      </c>
      <c r="G87">
        <v>1466.1472450733299</v>
      </c>
      <c r="H87">
        <v>1809.44868636398</v>
      </c>
      <c r="I87">
        <v>798.29469616743495</v>
      </c>
      <c r="J87">
        <v>990.80547773108901</v>
      </c>
      <c r="K87">
        <v>949.00190613877498</v>
      </c>
      <c r="L87">
        <v>1201.85180049272</v>
      </c>
      <c r="M87">
        <v>1006.77923363347</v>
      </c>
      <c r="N87">
        <v>1214.13203761975</v>
      </c>
      <c r="O87">
        <v>1129.60230769333</v>
      </c>
      <c r="P87">
        <v>1063.39818180731</v>
      </c>
      <c r="Q87">
        <v>736.04906690547796</v>
      </c>
      <c r="S87" s="5">
        <f t="shared" si="9"/>
        <v>1121.4251908822018</v>
      </c>
      <c r="T87" s="5">
        <f t="shared" si="7"/>
        <v>1032.2925119100246</v>
      </c>
      <c r="U87" s="5"/>
      <c r="V87" s="7">
        <v>1130.0210097710201</v>
      </c>
      <c r="W87" s="10"/>
      <c r="X87" s="5"/>
      <c r="Y87" s="7">
        <f t="shared" si="8"/>
        <v>40.672324969254966</v>
      </c>
      <c r="Z87" s="10">
        <f t="shared" si="10"/>
        <v>44.52282778497819</v>
      </c>
    </row>
    <row r="88" spans="1:26" x14ac:dyDescent="0.3">
      <c r="A88" s="2">
        <v>1984</v>
      </c>
      <c r="B88">
        <v>1167.1650569336</v>
      </c>
      <c r="C88">
        <v>1123.5393169911599</v>
      </c>
      <c r="D88">
        <v>1096.5217649235001</v>
      </c>
      <c r="E88">
        <v>1119.2587261056599</v>
      </c>
      <c r="F88">
        <v>1283.0981564675601</v>
      </c>
      <c r="G88">
        <v>1423.351599218</v>
      </c>
      <c r="H88">
        <v>1721.8956919193199</v>
      </c>
      <c r="I88">
        <v>815.16532683104504</v>
      </c>
      <c r="J88">
        <v>1004.7557154933399</v>
      </c>
      <c r="K88">
        <v>977.33011909234301</v>
      </c>
      <c r="L88">
        <v>1210.3927230540301</v>
      </c>
      <c r="M88">
        <v>1015.4271668963599</v>
      </c>
      <c r="N88">
        <v>1279.69510111365</v>
      </c>
      <c r="O88">
        <v>1188.91136964832</v>
      </c>
      <c r="P88">
        <v>1086.4376988163499</v>
      </c>
      <c r="Q88">
        <v>742.78377009653104</v>
      </c>
      <c r="S88" s="5">
        <f t="shared" si="9"/>
        <v>1140.983081475048</v>
      </c>
      <c r="T88" s="5">
        <f t="shared" si="7"/>
        <v>1052.6359651071632</v>
      </c>
      <c r="U88" s="5"/>
      <c r="V88" s="7">
        <v>1145.1658443162</v>
      </c>
      <c r="W88" s="10"/>
      <c r="X88" s="5"/>
      <c r="Y88" s="7">
        <f t="shared" si="8"/>
        <v>41.47385702522223</v>
      </c>
      <c r="Z88" s="10">
        <f t="shared" si="10"/>
        <v>45.119534266058281</v>
      </c>
    </row>
    <row r="89" spans="1:26" x14ac:dyDescent="0.3">
      <c r="A89" s="2">
        <v>1985</v>
      </c>
      <c r="B89">
        <v>861.79537399837704</v>
      </c>
      <c r="C89">
        <v>829.60099946477499</v>
      </c>
      <c r="D89">
        <v>819.055588784875</v>
      </c>
      <c r="E89">
        <v>871.653757444186</v>
      </c>
      <c r="F89">
        <v>1067.94950185741</v>
      </c>
      <c r="G89">
        <v>1245.6442826775799</v>
      </c>
      <c r="H89">
        <v>1598.7927284736099</v>
      </c>
      <c r="I89">
        <v>607.91612352365996</v>
      </c>
      <c r="J89">
        <v>715.83205464933701</v>
      </c>
      <c r="K89">
        <v>751.84956432052502</v>
      </c>
      <c r="L89">
        <v>931.85591596201004</v>
      </c>
      <c r="M89">
        <v>836.33084009133302</v>
      </c>
      <c r="N89">
        <v>960.78999928519602</v>
      </c>
      <c r="O89">
        <v>946.36128189004103</v>
      </c>
      <c r="P89">
        <v>843.98724438371005</v>
      </c>
      <c r="Q89">
        <v>568.53857915762399</v>
      </c>
      <c r="S89" s="5">
        <f t="shared" si="9"/>
        <v>903.62211474776564</v>
      </c>
      <c r="T89" s="5">
        <f t="shared" si="7"/>
        <v>821.47290243529358</v>
      </c>
      <c r="U89" s="5"/>
      <c r="V89" s="7">
        <v>921.906570633044</v>
      </c>
      <c r="W89" s="10"/>
      <c r="X89" s="5"/>
      <c r="Y89" s="7">
        <f t="shared" si="8"/>
        <v>32.366032355950566</v>
      </c>
      <c r="Z89" s="10">
        <f t="shared" si="10"/>
        <v>36.323118882941934</v>
      </c>
    </row>
    <row r="90" spans="1:26" x14ac:dyDescent="0.3">
      <c r="A90" s="2">
        <v>1986</v>
      </c>
      <c r="B90">
        <v>1254.0443070224101</v>
      </c>
      <c r="C90">
        <v>1199.8082407839599</v>
      </c>
      <c r="D90">
        <v>1133.4645411931399</v>
      </c>
      <c r="E90">
        <v>1137.63647924559</v>
      </c>
      <c r="F90">
        <v>1371.8498565955199</v>
      </c>
      <c r="G90">
        <v>1566.4423058121999</v>
      </c>
      <c r="H90">
        <v>1957.51846908473</v>
      </c>
      <c r="I90">
        <v>897.803447800188</v>
      </c>
      <c r="J90">
        <v>1212.2845987282899</v>
      </c>
      <c r="K90">
        <v>1089.4688798330701</v>
      </c>
      <c r="L90">
        <v>1395.5132781146499</v>
      </c>
      <c r="M90">
        <v>1139.68819686539</v>
      </c>
      <c r="N90">
        <v>1445.6847160576201</v>
      </c>
      <c r="O90">
        <v>1360.5567761289601</v>
      </c>
      <c r="P90">
        <v>1192.3116343709401</v>
      </c>
      <c r="Q90">
        <v>816.87382058738399</v>
      </c>
      <c r="S90" s="5">
        <f t="shared" si="9"/>
        <v>1260.6843467640028</v>
      </c>
      <c r="T90" s="5">
        <f t="shared" si="7"/>
        <v>1183.9270998327947</v>
      </c>
      <c r="U90" s="5"/>
      <c r="V90" s="7">
        <v>1245.01937285651</v>
      </c>
      <c r="W90" s="10"/>
      <c r="X90" s="5"/>
      <c r="Y90" s="7">
        <f t="shared" si="8"/>
        <v>46.646727733412106</v>
      </c>
      <c r="Z90" s="10">
        <f t="shared" si="10"/>
        <v>49.053763290546492</v>
      </c>
    </row>
    <row r="91" spans="1:26" x14ac:dyDescent="0.3">
      <c r="A91" s="2">
        <v>1987</v>
      </c>
      <c r="B91">
        <v>578.07145530792002</v>
      </c>
      <c r="C91">
        <v>554.25687002892698</v>
      </c>
      <c r="D91">
        <v>533.110922122224</v>
      </c>
      <c r="E91">
        <v>559.436424683165</v>
      </c>
      <c r="F91">
        <v>665.16980811454903</v>
      </c>
      <c r="G91">
        <v>761.05149670930302</v>
      </c>
      <c r="H91">
        <v>916.48949572100901</v>
      </c>
      <c r="I91">
        <v>457.77996159696897</v>
      </c>
      <c r="J91">
        <v>669.25878599337898</v>
      </c>
      <c r="K91">
        <v>551.68101862904098</v>
      </c>
      <c r="L91">
        <v>647.84834118324</v>
      </c>
      <c r="M91">
        <v>752.82285877985601</v>
      </c>
      <c r="N91">
        <v>678.14758369841604</v>
      </c>
      <c r="O91">
        <v>785.22262764636196</v>
      </c>
      <c r="P91">
        <v>554.14891440275801</v>
      </c>
      <c r="Q91">
        <v>450.22886545953003</v>
      </c>
      <c r="S91" s="5">
        <f t="shared" si="9"/>
        <v>632.17033937979056</v>
      </c>
      <c r="T91" s="5">
        <f t="shared" si="7"/>
        <v>620.18161258756163</v>
      </c>
      <c r="U91" s="5"/>
      <c r="V91" s="7">
        <v>610.78634280476604</v>
      </c>
      <c r="W91" s="10"/>
      <c r="X91" s="5"/>
      <c r="Y91" s="7">
        <f t="shared" si="8"/>
        <v>24.435155535949928</v>
      </c>
      <c r="Z91" s="10">
        <f t="shared" si="10"/>
        <v>24.064981906507779</v>
      </c>
    </row>
    <row r="92" spans="1:26" x14ac:dyDescent="0.3">
      <c r="A92" s="2">
        <v>1988</v>
      </c>
      <c r="B92">
        <v>554.73469597813596</v>
      </c>
      <c r="C92">
        <v>525.55593970383302</v>
      </c>
      <c r="D92">
        <v>503.42326188555398</v>
      </c>
      <c r="E92">
        <v>516.36603138229896</v>
      </c>
      <c r="F92">
        <v>587.41954926422704</v>
      </c>
      <c r="G92">
        <v>630.54796703223803</v>
      </c>
      <c r="H92">
        <v>738.26140729136796</v>
      </c>
      <c r="I92">
        <v>394.25029530508999</v>
      </c>
      <c r="J92">
        <v>608.49390713531602</v>
      </c>
      <c r="K92">
        <v>497.67677382434402</v>
      </c>
      <c r="L92">
        <v>655.91448791518303</v>
      </c>
      <c r="M92">
        <v>616.66202337481002</v>
      </c>
      <c r="N92">
        <v>603.23338001458296</v>
      </c>
      <c r="O92">
        <v>668.53376407526298</v>
      </c>
      <c r="P92">
        <v>543.29839236919395</v>
      </c>
      <c r="Q92">
        <v>390.61880900161299</v>
      </c>
      <c r="S92" s="5">
        <f t="shared" si="9"/>
        <v>564.68691784706573</v>
      </c>
      <c r="T92" s="5">
        <f t="shared" si="7"/>
        <v>556.87564810738888</v>
      </c>
      <c r="U92" s="5"/>
      <c r="V92" s="7">
        <v>543.75885230099595</v>
      </c>
      <c r="W92" s="10"/>
      <c r="X92" s="5"/>
      <c r="Y92" s="7">
        <f t="shared" si="8"/>
        <v>21.940900535431119</v>
      </c>
      <c r="Z92" s="10">
        <f t="shared" si="10"/>
        <v>21.424098780659239</v>
      </c>
    </row>
    <row r="93" spans="1:26" x14ac:dyDescent="0.3">
      <c r="A93" s="2">
        <v>1989</v>
      </c>
      <c r="B93">
        <v>730.99098640514705</v>
      </c>
      <c r="C93">
        <v>691.89799139052604</v>
      </c>
      <c r="D93">
        <v>672.50806281463497</v>
      </c>
      <c r="E93">
        <v>703.41856451929903</v>
      </c>
      <c r="F93">
        <v>797.29164333303902</v>
      </c>
      <c r="G93">
        <v>876.14262463069599</v>
      </c>
      <c r="H93">
        <v>1033.2139384001</v>
      </c>
      <c r="I93">
        <v>533.31061580108201</v>
      </c>
      <c r="J93">
        <v>815.52638864444896</v>
      </c>
      <c r="K93">
        <v>663.07686153208397</v>
      </c>
      <c r="L93">
        <v>863.79191978645395</v>
      </c>
      <c r="M93">
        <v>829.79368285569205</v>
      </c>
      <c r="N93">
        <v>834.35815695711096</v>
      </c>
      <c r="O93">
        <v>914.63382256445198</v>
      </c>
      <c r="P93">
        <v>744.54887623765501</v>
      </c>
      <c r="Q93">
        <v>558.36280614489704</v>
      </c>
      <c r="S93" s="5">
        <f t="shared" si="9"/>
        <v>766.42918387608233</v>
      </c>
      <c r="T93" s="5">
        <f t="shared" si="7"/>
        <v>755.48934342700363</v>
      </c>
      <c r="U93" s="5"/>
      <c r="V93" s="7">
        <v>746.64186462138696</v>
      </c>
      <c r="W93" s="10"/>
      <c r="X93" s="5"/>
      <c r="Y93" s="7">
        <f t="shared" si="8"/>
        <v>29.76628013102394</v>
      </c>
      <c r="Z93" s="10">
        <f t="shared" si="10"/>
        <v>29.417689466082646</v>
      </c>
    </row>
    <row r="94" spans="1:26" x14ac:dyDescent="0.3">
      <c r="A94" s="2">
        <v>1990</v>
      </c>
      <c r="B94">
        <v>614.59366570222301</v>
      </c>
      <c r="C94">
        <v>591.93218845652098</v>
      </c>
      <c r="D94">
        <v>566.64654591461203</v>
      </c>
      <c r="E94">
        <v>592.64035001325794</v>
      </c>
      <c r="F94">
        <v>702.28258743004096</v>
      </c>
      <c r="G94">
        <v>823.12381609867703</v>
      </c>
      <c r="H94">
        <v>1033.6214730352899</v>
      </c>
      <c r="I94">
        <v>458.70822125700403</v>
      </c>
      <c r="J94">
        <v>689.39473435797402</v>
      </c>
      <c r="K94">
        <v>563.94948549550202</v>
      </c>
      <c r="L94">
        <v>714.83840603118699</v>
      </c>
      <c r="M94">
        <v>773.13358897244302</v>
      </c>
      <c r="N94">
        <v>689.81187032843297</v>
      </c>
      <c r="O94">
        <v>854.38651280048202</v>
      </c>
      <c r="P94">
        <v>617.91911396470198</v>
      </c>
      <c r="Q94">
        <v>482.10552409472399</v>
      </c>
      <c r="S94" s="5">
        <f t="shared" si="9"/>
        <v>673.06800524706716</v>
      </c>
      <c r="T94" s="5">
        <f t="shared" si="7"/>
        <v>658.17364352715879</v>
      </c>
      <c r="U94" s="5"/>
      <c r="V94" s="7">
        <v>660.62631318114597</v>
      </c>
      <c r="W94" s="10"/>
      <c r="X94" s="5"/>
      <c r="Y94" s="7">
        <f t="shared" si="8"/>
        <v>25.932041554970056</v>
      </c>
      <c r="Z94" s="10">
        <f t="shared" si="10"/>
        <v>26.028676739337151</v>
      </c>
    </row>
    <row r="95" spans="1:26" x14ac:dyDescent="0.3">
      <c r="A95" s="2">
        <v>1991</v>
      </c>
      <c r="B95">
        <v>832.675603561804</v>
      </c>
      <c r="C95">
        <v>797.278169880414</v>
      </c>
      <c r="D95">
        <v>764.82027098444996</v>
      </c>
      <c r="E95">
        <v>785.97655676972499</v>
      </c>
      <c r="F95">
        <v>902.14184222858705</v>
      </c>
      <c r="G95">
        <v>990.78185046571298</v>
      </c>
      <c r="H95">
        <v>1162.5308317213601</v>
      </c>
      <c r="I95">
        <v>617.29723559455499</v>
      </c>
      <c r="J95">
        <v>816.96451002905405</v>
      </c>
      <c r="K95">
        <v>725.45401785802699</v>
      </c>
      <c r="L95">
        <v>859.765537220439</v>
      </c>
      <c r="M95">
        <v>897.24110830388702</v>
      </c>
      <c r="N95">
        <v>843.51467512690601</v>
      </c>
      <c r="O95">
        <v>969.06203774693699</v>
      </c>
      <c r="P95">
        <v>795.10312024110999</v>
      </c>
      <c r="Q95">
        <v>573.81296765739796</v>
      </c>
      <c r="S95" s="5">
        <f t="shared" si="9"/>
        <v>833.40127096189781</v>
      </c>
      <c r="T95" s="5">
        <f t="shared" si="7"/>
        <v>798.62207631613046</v>
      </c>
      <c r="U95" s="5"/>
      <c r="V95" s="7">
        <v>826.40538046141501</v>
      </c>
      <c r="W95" s="10"/>
      <c r="X95" s="5"/>
      <c r="Y95" s="7">
        <f t="shared" si="8"/>
        <v>31.465709806855539</v>
      </c>
      <c r="Z95" s="10">
        <f t="shared" si="10"/>
        <v>32.560371990179746</v>
      </c>
    </row>
    <row r="96" spans="1:26" x14ac:dyDescent="0.3">
      <c r="A96" s="2">
        <v>1992</v>
      </c>
      <c r="B96">
        <v>586.338335489938</v>
      </c>
      <c r="C96">
        <v>571.25579329803804</v>
      </c>
      <c r="D96">
        <v>553.22843135513995</v>
      </c>
      <c r="E96">
        <v>571.42894459157196</v>
      </c>
      <c r="F96">
        <v>657.20498177494301</v>
      </c>
      <c r="G96">
        <v>720.97615907651402</v>
      </c>
      <c r="H96">
        <v>857.98259775673102</v>
      </c>
      <c r="I96">
        <v>417.630244446257</v>
      </c>
      <c r="J96">
        <v>613.56855968335799</v>
      </c>
      <c r="K96">
        <v>501.70165588716497</v>
      </c>
      <c r="L96">
        <v>647.51418614945601</v>
      </c>
      <c r="M96">
        <v>641.01297581724396</v>
      </c>
      <c r="N96">
        <v>579.50028092270099</v>
      </c>
      <c r="O96">
        <v>707.96130294394595</v>
      </c>
      <c r="P96">
        <v>526.68080506314595</v>
      </c>
      <c r="Q96">
        <v>438.82422281252798</v>
      </c>
      <c r="S96" s="5">
        <f t="shared" si="9"/>
        <v>599.55059231679218</v>
      </c>
      <c r="T96" s="5">
        <f t="shared" si="7"/>
        <v>577.29436659996702</v>
      </c>
      <c r="U96" s="5"/>
      <c r="V96" s="7">
        <v>592.52797023463199</v>
      </c>
      <c r="W96" s="10"/>
      <c r="X96" s="5"/>
      <c r="Y96" s="7">
        <f t="shared" si="8"/>
        <v>22.745398044038698</v>
      </c>
      <c r="Z96" s="10">
        <f t="shared" si="10"/>
        <v>23.3456020272445</v>
      </c>
    </row>
    <row r="97" spans="1:26" x14ac:dyDescent="0.3">
      <c r="A97" s="2">
        <v>1993</v>
      </c>
      <c r="B97">
        <v>1057.96781226752</v>
      </c>
      <c r="C97">
        <v>1027.7269613772401</v>
      </c>
      <c r="D97">
        <v>997.776646583456</v>
      </c>
      <c r="E97">
        <v>1009.56512073102</v>
      </c>
      <c r="F97">
        <v>1160.05445507891</v>
      </c>
      <c r="G97">
        <v>1279.40443671303</v>
      </c>
      <c r="H97">
        <v>1506.4969758753</v>
      </c>
      <c r="I97">
        <v>742.69520726982296</v>
      </c>
      <c r="J97">
        <v>973.68240974444598</v>
      </c>
      <c r="K97">
        <v>893.76689659104795</v>
      </c>
      <c r="L97">
        <v>1135.1757498726699</v>
      </c>
      <c r="M97">
        <v>1012.36792192797</v>
      </c>
      <c r="N97">
        <v>1144.30773278981</v>
      </c>
      <c r="O97">
        <v>1154.67290435163</v>
      </c>
      <c r="P97">
        <v>982.64336649114796</v>
      </c>
      <c r="Q97">
        <v>745.36597434908595</v>
      </c>
      <c r="S97" s="5">
        <f t="shared" si="9"/>
        <v>1051.4794107508815</v>
      </c>
      <c r="T97" s="5">
        <f t="shared" si="7"/>
        <v>992.27840628124613</v>
      </c>
      <c r="U97" s="5"/>
      <c r="V97" s="7">
        <v>1051.8814004969199</v>
      </c>
      <c r="W97" s="10"/>
      <c r="X97" s="5"/>
      <c r="Y97" s="7">
        <f t="shared" si="8"/>
        <v>39.095769207481098</v>
      </c>
      <c r="Z97" s="10">
        <f t="shared" si="10"/>
        <v>41.444127179578643</v>
      </c>
    </row>
    <row r="98" spans="1:26" x14ac:dyDescent="0.3">
      <c r="A98" s="2">
        <v>1994</v>
      </c>
      <c r="B98">
        <v>690.40429812942102</v>
      </c>
      <c r="C98">
        <v>666.61339458676696</v>
      </c>
      <c r="D98">
        <v>652.05494977337696</v>
      </c>
      <c r="E98">
        <v>673.31874423327702</v>
      </c>
      <c r="F98">
        <v>777.63772425107902</v>
      </c>
      <c r="G98">
        <v>861.60054701137005</v>
      </c>
      <c r="H98">
        <v>1027.9438484570601</v>
      </c>
      <c r="I98">
        <v>456.680617405737</v>
      </c>
      <c r="J98">
        <v>566.91323856517204</v>
      </c>
      <c r="K98">
        <v>560.03252716463498</v>
      </c>
      <c r="L98">
        <v>681.27736141853097</v>
      </c>
      <c r="M98">
        <v>713.64671682479604</v>
      </c>
      <c r="N98">
        <v>687.15602300674004</v>
      </c>
      <c r="O98">
        <v>770.08800878528405</v>
      </c>
      <c r="P98">
        <v>631.03821332958398</v>
      </c>
      <c r="Q98">
        <v>464.26241035499999</v>
      </c>
      <c r="S98" s="5">
        <f t="shared" si="9"/>
        <v>680.04178895611449</v>
      </c>
      <c r="T98" s="5">
        <f t="shared" si="7"/>
        <v>631.72613115087256</v>
      </c>
      <c r="U98" s="5"/>
      <c r="V98" s="7">
        <v>691.94239676387497</v>
      </c>
      <c r="W98" s="10"/>
      <c r="X98" s="5"/>
      <c r="Y98" s="7">
        <f t="shared" si="8"/>
        <v>24.890009567344379</v>
      </c>
      <c r="Z98" s="10">
        <f t="shared" si="10"/>
        <v>27.262530432496671</v>
      </c>
    </row>
    <row r="99" spans="1:26" x14ac:dyDescent="0.3">
      <c r="A99" s="2">
        <v>1995</v>
      </c>
      <c r="B99">
        <v>1135.81663643819</v>
      </c>
      <c r="C99">
        <v>1097.1787369251099</v>
      </c>
      <c r="D99">
        <v>1061.5297827122499</v>
      </c>
      <c r="E99">
        <v>1083.86291510162</v>
      </c>
      <c r="F99">
        <v>1238.57118279889</v>
      </c>
      <c r="G99">
        <v>1371.36551334359</v>
      </c>
      <c r="H99">
        <v>1645.47220221417</v>
      </c>
      <c r="I99">
        <v>772.38892481622895</v>
      </c>
      <c r="J99">
        <v>946.46026171836002</v>
      </c>
      <c r="K99">
        <v>921.92606928468399</v>
      </c>
      <c r="L99">
        <v>1085.68264736694</v>
      </c>
      <c r="M99">
        <v>1084.43082569476</v>
      </c>
      <c r="N99">
        <v>1077.4050145496799</v>
      </c>
      <c r="O99">
        <v>1170.2854358316699</v>
      </c>
      <c r="P99">
        <v>985.607801295238</v>
      </c>
      <c r="Q99">
        <v>751.709097751017</v>
      </c>
      <c r="S99" s="5">
        <f t="shared" si="9"/>
        <v>1089.3558154901498</v>
      </c>
      <c r="T99" s="5">
        <f t="shared" si="7"/>
        <v>1006.5108779052148</v>
      </c>
      <c r="U99" s="5"/>
      <c r="V99" s="7">
        <v>1107.9142725706199</v>
      </c>
      <c r="W99" s="10"/>
      <c r="X99" s="5"/>
      <c r="Y99" s="7">
        <f t="shared" si="8"/>
        <v>39.656528589465459</v>
      </c>
      <c r="Z99" s="10">
        <f t="shared" si="10"/>
        <v>43.651822339282425</v>
      </c>
    </row>
    <row r="100" spans="1:26" x14ac:dyDescent="0.3">
      <c r="A100" s="2">
        <v>1996</v>
      </c>
      <c r="B100">
        <v>859.17263931557102</v>
      </c>
      <c r="C100">
        <v>814.06428933213601</v>
      </c>
      <c r="D100">
        <v>781.10704344621604</v>
      </c>
      <c r="E100">
        <v>803.74266565531104</v>
      </c>
      <c r="F100">
        <v>945.66236900276101</v>
      </c>
      <c r="G100">
        <v>1049.6279645596601</v>
      </c>
      <c r="H100">
        <v>1244.1149947638701</v>
      </c>
      <c r="I100">
        <v>611.36512746660401</v>
      </c>
      <c r="J100">
        <v>952.25551232315195</v>
      </c>
      <c r="K100">
        <v>762.13872274885898</v>
      </c>
      <c r="L100">
        <v>1003.74790647124</v>
      </c>
      <c r="M100">
        <v>914.63592591416602</v>
      </c>
      <c r="N100">
        <v>852.98257858331499</v>
      </c>
      <c r="O100">
        <v>994.73404204035705</v>
      </c>
      <c r="P100">
        <v>791.65984017404503</v>
      </c>
      <c r="Q100">
        <v>585.24199510404299</v>
      </c>
      <c r="S100" s="5">
        <f t="shared" si="9"/>
        <v>872.89085105633171</v>
      </c>
      <c r="T100" s="5">
        <f t="shared" si="7"/>
        <v>846.75063626839312</v>
      </c>
      <c r="U100" s="5"/>
      <c r="V100" s="7">
        <v>853.89537345200995</v>
      </c>
      <c r="W100" s="10"/>
      <c r="X100" s="5"/>
      <c r="Y100" s="7">
        <f t="shared" si="8"/>
        <v>33.361975068974687</v>
      </c>
      <c r="Z100" s="10">
        <f t="shared" si="10"/>
        <v>33.643477714009187</v>
      </c>
    </row>
    <row r="101" spans="1:26" x14ac:dyDescent="0.3">
      <c r="A101" s="2">
        <v>1997</v>
      </c>
      <c r="B101">
        <v>1041.3451897652501</v>
      </c>
      <c r="C101">
        <v>996.55406861475399</v>
      </c>
      <c r="D101">
        <v>966.60709239693995</v>
      </c>
      <c r="E101">
        <v>980.47392874403999</v>
      </c>
      <c r="F101">
        <v>1113.4759999722401</v>
      </c>
      <c r="G101">
        <v>1221.8260333737101</v>
      </c>
      <c r="H101">
        <v>1459.7530860050999</v>
      </c>
      <c r="I101">
        <v>918.99246159493305</v>
      </c>
      <c r="J101">
        <v>1162.42119977827</v>
      </c>
      <c r="K101">
        <v>1101.10758569013</v>
      </c>
      <c r="L101">
        <v>1369.5484252201099</v>
      </c>
      <c r="M101">
        <v>1075.6467733653701</v>
      </c>
      <c r="N101">
        <v>1335.4172929412</v>
      </c>
      <c r="O101">
        <v>1206.99482145154</v>
      </c>
      <c r="P101">
        <v>1164.6832983587101</v>
      </c>
      <c r="Q101">
        <v>720.01946967062804</v>
      </c>
      <c r="S101" s="5">
        <f t="shared" si="9"/>
        <v>1114.6791704339328</v>
      </c>
      <c r="T101" s="5">
        <f t="shared" ref="T101:T129" si="11">(B101*$B$3)+(C101*$C$3)+(D101*$D$3)+(E101*$E$3)+(F101*$F$3)+(G101*$G$3)+(H101*$H$3)+(I101*$I$3)+(J101*$J$3)+(K101*$K$3)+(L101*$L$3)+(M101*$M$3)+(N101*$N$3)+(O101*$O$3)+(P101*$P$3)+(Q101*$Q$3)</f>
        <v>1104.1570844002922</v>
      </c>
      <c r="U101" s="5"/>
      <c r="V101" s="7">
        <v>1055.12225838158</v>
      </c>
      <c r="W101" s="10"/>
      <c r="X101" s="5"/>
      <c r="Y101" s="7">
        <f t="shared" ref="Y101:Y129" si="12">T101*0.0394</f>
        <v>43.503789125371512</v>
      </c>
      <c r="Z101" s="10">
        <f t="shared" si="10"/>
        <v>41.571816980234246</v>
      </c>
    </row>
    <row r="102" spans="1:26" x14ac:dyDescent="0.3">
      <c r="A102" s="2">
        <v>1998</v>
      </c>
      <c r="B102">
        <v>1041.3750705791199</v>
      </c>
      <c r="C102">
        <v>994.16434633729796</v>
      </c>
      <c r="D102">
        <v>960.28292992157299</v>
      </c>
      <c r="E102">
        <v>960.27128450949897</v>
      </c>
      <c r="F102">
        <v>1071.6047558184</v>
      </c>
      <c r="G102">
        <v>1157.55275146383</v>
      </c>
      <c r="H102">
        <v>1344.5121085717799</v>
      </c>
      <c r="I102">
        <v>786.895123344274</v>
      </c>
      <c r="J102">
        <v>878.25925642338996</v>
      </c>
      <c r="K102">
        <v>931.19918808006798</v>
      </c>
      <c r="L102">
        <v>1060.30121451228</v>
      </c>
      <c r="M102">
        <v>963.66472553237804</v>
      </c>
      <c r="N102">
        <v>1136.2245305465599</v>
      </c>
      <c r="O102">
        <v>1055.56922792929</v>
      </c>
      <c r="P102">
        <v>993.52127848405996</v>
      </c>
      <c r="Q102">
        <v>641.79133144976299</v>
      </c>
      <c r="S102" s="5">
        <f t="shared" si="9"/>
        <v>998.57432021897284</v>
      </c>
      <c r="T102" s="5">
        <f t="shared" si="11"/>
        <v>941.3225145871545</v>
      </c>
      <c r="U102" s="5"/>
      <c r="V102" s="7">
        <v>986.20805216961196</v>
      </c>
      <c r="W102" s="10"/>
      <c r="X102" s="5"/>
      <c r="Y102" s="7">
        <f t="shared" si="12"/>
        <v>37.088107074733884</v>
      </c>
      <c r="Z102" s="10">
        <f t="shared" si="10"/>
        <v>38.856597255482711</v>
      </c>
    </row>
    <row r="103" spans="1:26" x14ac:dyDescent="0.3">
      <c r="A103" s="2">
        <v>1999</v>
      </c>
      <c r="B103">
        <v>856.14992771488403</v>
      </c>
      <c r="C103">
        <v>833.76532571745099</v>
      </c>
      <c r="D103">
        <v>822.77980261329003</v>
      </c>
      <c r="E103">
        <v>856.20319169327399</v>
      </c>
      <c r="F103">
        <v>980.84909516934101</v>
      </c>
      <c r="G103">
        <v>1063.40946915728</v>
      </c>
      <c r="H103">
        <v>1224.1915706914299</v>
      </c>
      <c r="I103">
        <v>681.75428838145899</v>
      </c>
      <c r="J103">
        <v>954.95068347990298</v>
      </c>
      <c r="K103">
        <v>811.48662027395903</v>
      </c>
      <c r="L103">
        <v>1008.5212906320201</v>
      </c>
      <c r="M103">
        <v>953.29085139441497</v>
      </c>
      <c r="N103">
        <v>915.25812634761803</v>
      </c>
      <c r="O103">
        <v>1027.8661040037</v>
      </c>
      <c r="P103">
        <v>854.84783779310806</v>
      </c>
      <c r="Q103">
        <v>645.39366115107805</v>
      </c>
      <c r="S103" s="5">
        <f t="shared" si="9"/>
        <v>905.66986538838819</v>
      </c>
      <c r="T103" s="5">
        <f t="shared" si="11"/>
        <v>883.93970566268013</v>
      </c>
      <c r="U103" s="5"/>
      <c r="V103" s="7">
        <v>886.45254961479498</v>
      </c>
      <c r="W103" s="10"/>
      <c r="X103" s="5"/>
      <c r="Y103" s="7">
        <f t="shared" si="12"/>
        <v>34.827224403109597</v>
      </c>
      <c r="Z103" s="10">
        <f t="shared" si="10"/>
        <v>34.926230454822921</v>
      </c>
    </row>
    <row r="104" spans="1:26" x14ac:dyDescent="0.3">
      <c r="A104" s="2">
        <v>2000</v>
      </c>
      <c r="B104">
        <v>698.22933085924797</v>
      </c>
      <c r="C104">
        <v>661.79310200664804</v>
      </c>
      <c r="D104">
        <v>641.70581919589802</v>
      </c>
      <c r="E104">
        <v>655.59483276224103</v>
      </c>
      <c r="F104">
        <v>753.48071615976198</v>
      </c>
      <c r="G104">
        <v>815.75064400202098</v>
      </c>
      <c r="H104">
        <v>977.07302229211405</v>
      </c>
      <c r="I104">
        <v>455.593856400704</v>
      </c>
      <c r="J104">
        <v>665.48827135960505</v>
      </c>
      <c r="K104">
        <v>560.33413095128697</v>
      </c>
      <c r="L104">
        <v>702.29095097211098</v>
      </c>
      <c r="M104">
        <v>710.68888765601798</v>
      </c>
      <c r="N104">
        <v>689.10664928716506</v>
      </c>
      <c r="O104">
        <v>785.77385316049504</v>
      </c>
      <c r="P104">
        <v>640.66127400635798</v>
      </c>
      <c r="Q104">
        <v>472.64238009359099</v>
      </c>
      <c r="S104" s="5">
        <f t="shared" si="9"/>
        <v>680.38798257282917</v>
      </c>
      <c r="T104" s="5">
        <f t="shared" si="11"/>
        <v>644.29732840586928</v>
      </c>
      <c r="U104" s="5"/>
      <c r="V104" s="7">
        <v>682.446269217392</v>
      </c>
      <c r="W104" s="10"/>
      <c r="X104" s="5"/>
      <c r="Y104" s="7">
        <f t="shared" si="12"/>
        <v>25.385314739191248</v>
      </c>
      <c r="Z104" s="10">
        <f t="shared" si="10"/>
        <v>26.888383007165242</v>
      </c>
    </row>
    <row r="105" spans="1:26" x14ac:dyDescent="0.3">
      <c r="A105" s="2">
        <v>2001</v>
      </c>
      <c r="B105">
        <v>655.33722867525603</v>
      </c>
      <c r="C105">
        <v>624.01669962260905</v>
      </c>
      <c r="D105">
        <v>608.36036434913296</v>
      </c>
      <c r="E105">
        <v>628.52939667932196</v>
      </c>
      <c r="F105">
        <v>731.30395086625003</v>
      </c>
      <c r="G105">
        <v>803.90872926514601</v>
      </c>
      <c r="H105">
        <v>953.487582533264</v>
      </c>
      <c r="I105">
        <v>430.65286384775402</v>
      </c>
      <c r="J105">
        <v>528.82695301528895</v>
      </c>
      <c r="K105">
        <v>507.18563082506699</v>
      </c>
      <c r="L105">
        <v>631.704234837787</v>
      </c>
      <c r="M105">
        <v>673.92633733499599</v>
      </c>
      <c r="N105">
        <v>639.67207866001695</v>
      </c>
      <c r="O105">
        <v>707.92418782461004</v>
      </c>
      <c r="P105">
        <v>576.16967498792997</v>
      </c>
      <c r="Q105">
        <v>436.006369018599</v>
      </c>
      <c r="S105" s="5">
        <f t="shared" si="9"/>
        <v>633.56326764643939</v>
      </c>
      <c r="T105" s="5">
        <f t="shared" si="11"/>
        <v>585.88831052823821</v>
      </c>
      <c r="U105" s="5"/>
      <c r="V105" s="7">
        <v>646.64244593082401</v>
      </c>
      <c r="W105" s="10"/>
      <c r="X105" s="5"/>
      <c r="Y105" s="7">
        <f t="shared" si="12"/>
        <v>23.083999434812583</v>
      </c>
      <c r="Z105" s="10">
        <f t="shared" si="10"/>
        <v>25.477712369674464</v>
      </c>
    </row>
    <row r="106" spans="1:26" x14ac:dyDescent="0.3">
      <c r="A106" s="2">
        <v>2002</v>
      </c>
      <c r="B106">
        <v>750.25573866230502</v>
      </c>
      <c r="C106">
        <v>720.72671399568503</v>
      </c>
      <c r="D106">
        <v>708.57727368706298</v>
      </c>
      <c r="E106">
        <v>725.97324976130506</v>
      </c>
      <c r="F106">
        <v>817.40428346928297</v>
      </c>
      <c r="G106">
        <v>894.81727462108699</v>
      </c>
      <c r="H106">
        <v>1099.2089139726099</v>
      </c>
      <c r="I106">
        <v>530.18906382537102</v>
      </c>
      <c r="J106">
        <v>698.72558176711595</v>
      </c>
      <c r="K106">
        <v>625.44271984203101</v>
      </c>
      <c r="L106">
        <v>809.17223232793799</v>
      </c>
      <c r="M106">
        <v>693.98005665520998</v>
      </c>
      <c r="N106">
        <v>771.51073028963401</v>
      </c>
      <c r="O106">
        <v>785.05630947230395</v>
      </c>
      <c r="P106">
        <v>684.20551622399501</v>
      </c>
      <c r="Q106">
        <v>489.89293406080901</v>
      </c>
      <c r="S106" s="5">
        <f t="shared" si="9"/>
        <v>737.82116203960902</v>
      </c>
      <c r="T106" s="5">
        <f t="shared" si="11"/>
        <v>690.08798154345368</v>
      </c>
      <c r="U106" s="5"/>
      <c r="V106" s="7">
        <v>736.24216710700705</v>
      </c>
      <c r="W106" s="10"/>
      <c r="X106" s="5"/>
      <c r="Y106" s="7">
        <f t="shared" si="12"/>
        <v>27.189466472812072</v>
      </c>
      <c r="Z106" s="10">
        <f t="shared" si="10"/>
        <v>29.007941384016075</v>
      </c>
    </row>
    <row r="107" spans="1:26" x14ac:dyDescent="0.3">
      <c r="A107" s="2">
        <v>2003</v>
      </c>
      <c r="B107">
        <v>601.752831961173</v>
      </c>
      <c r="C107">
        <v>585.60399387413099</v>
      </c>
      <c r="D107">
        <v>580.19375530315699</v>
      </c>
      <c r="E107">
        <v>600.74511672941799</v>
      </c>
      <c r="F107">
        <v>699.35919677424204</v>
      </c>
      <c r="G107">
        <v>769.81366172675996</v>
      </c>
      <c r="H107">
        <v>913.34227635603395</v>
      </c>
      <c r="I107">
        <v>488.43661895230599</v>
      </c>
      <c r="J107">
        <v>671.83717385458897</v>
      </c>
      <c r="K107">
        <v>576.44142565395703</v>
      </c>
      <c r="L107">
        <v>770.65570425496901</v>
      </c>
      <c r="M107">
        <v>728.557189471171</v>
      </c>
      <c r="N107">
        <v>611.95883866486702</v>
      </c>
      <c r="O107">
        <v>780.94253593533995</v>
      </c>
      <c r="P107">
        <v>583.90042133930604</v>
      </c>
      <c r="Q107">
        <v>510.81076267803098</v>
      </c>
      <c r="S107" s="5">
        <f t="shared" si="9"/>
        <v>654.64696897059059</v>
      </c>
      <c r="T107" s="5">
        <f t="shared" si="11"/>
        <v>649.91506050551891</v>
      </c>
      <c r="U107" s="5"/>
      <c r="V107" s="7">
        <v>638.23470771114899</v>
      </c>
      <c r="W107" s="10"/>
      <c r="X107" s="5"/>
      <c r="Y107" s="7">
        <f t="shared" si="12"/>
        <v>25.606653383917443</v>
      </c>
      <c r="Z107" s="10">
        <f t="shared" si="10"/>
        <v>25.146447483819269</v>
      </c>
    </row>
    <row r="108" spans="1:26" x14ac:dyDescent="0.3">
      <c r="A108" s="2">
        <v>2004</v>
      </c>
      <c r="B108">
        <v>793.46876232312297</v>
      </c>
      <c r="C108">
        <v>758.23808787384701</v>
      </c>
      <c r="D108">
        <v>739.55006417138895</v>
      </c>
      <c r="E108">
        <v>745.29488693764097</v>
      </c>
      <c r="F108">
        <v>819.76852217209603</v>
      </c>
      <c r="G108">
        <v>873.969054622984</v>
      </c>
      <c r="H108">
        <v>1016.44129080886</v>
      </c>
      <c r="I108">
        <v>575.629510798149</v>
      </c>
      <c r="J108">
        <v>787.97393638996198</v>
      </c>
      <c r="K108">
        <v>686.28423200785198</v>
      </c>
      <c r="L108">
        <v>864.17751490504702</v>
      </c>
      <c r="M108">
        <v>708.74605061883994</v>
      </c>
      <c r="N108">
        <v>819.89154154246103</v>
      </c>
      <c r="O108">
        <v>763.489213546202</v>
      </c>
      <c r="P108">
        <v>764.09639398780803</v>
      </c>
      <c r="Q108">
        <v>497.03614575840299</v>
      </c>
      <c r="S108" s="5">
        <f t="shared" si="9"/>
        <v>763.37845052904129</v>
      </c>
      <c r="T108" s="5">
        <f t="shared" si="11"/>
        <v>725.33308220191543</v>
      </c>
      <c r="U108" s="5"/>
      <c r="V108" s="7">
        <v>753.40162154473899</v>
      </c>
      <c r="W108" s="10"/>
      <c r="X108" s="5"/>
      <c r="Y108" s="7">
        <f t="shared" si="12"/>
        <v>28.578123438755465</v>
      </c>
      <c r="Z108" s="10">
        <f t="shared" si="10"/>
        <v>29.684023888862715</v>
      </c>
    </row>
    <row r="109" spans="1:26" x14ac:dyDescent="0.3">
      <c r="A109" s="2">
        <v>2005</v>
      </c>
      <c r="B109">
        <v>1005.71218262047</v>
      </c>
      <c r="C109">
        <v>971.26887810838798</v>
      </c>
      <c r="D109">
        <v>935.77019988789198</v>
      </c>
      <c r="E109">
        <v>958.07624946416797</v>
      </c>
      <c r="F109">
        <v>1123.50377662817</v>
      </c>
      <c r="G109">
        <v>1277.16873818252</v>
      </c>
      <c r="H109">
        <v>1562.07599382635</v>
      </c>
      <c r="I109">
        <v>742.23145259453997</v>
      </c>
      <c r="J109">
        <v>846.99725905421406</v>
      </c>
      <c r="K109">
        <v>874.97447148659398</v>
      </c>
      <c r="L109">
        <v>1018.24365839034</v>
      </c>
      <c r="M109">
        <v>969.64383259828605</v>
      </c>
      <c r="N109">
        <v>1122.5772446697099</v>
      </c>
      <c r="O109">
        <v>1066.36666191674</v>
      </c>
      <c r="P109">
        <v>966.74839109929201</v>
      </c>
      <c r="Q109">
        <v>656.937245966006</v>
      </c>
      <c r="S109" s="5">
        <f t="shared" si="9"/>
        <v>1006.143514780855</v>
      </c>
      <c r="T109" s="5">
        <f t="shared" si="11"/>
        <v>930.87159019646174</v>
      </c>
      <c r="U109" s="5"/>
      <c r="V109" s="7">
        <v>1014.18621921762</v>
      </c>
      <c r="W109" s="10"/>
      <c r="X109" s="5"/>
      <c r="Y109" s="7">
        <f t="shared" si="12"/>
        <v>36.676340653740588</v>
      </c>
      <c r="Z109" s="10">
        <f t="shared" si="10"/>
        <v>39.958937037174223</v>
      </c>
    </row>
    <row r="110" spans="1:26" x14ac:dyDescent="0.3">
      <c r="A110" s="2">
        <v>2006</v>
      </c>
      <c r="B110">
        <v>1022.03244251284</v>
      </c>
      <c r="C110">
        <v>983.46304565421804</v>
      </c>
      <c r="D110">
        <v>960.28488334011297</v>
      </c>
      <c r="E110">
        <v>973.50629163557096</v>
      </c>
      <c r="F110">
        <v>1106.40411593209</v>
      </c>
      <c r="G110">
        <v>1191.41939279856</v>
      </c>
      <c r="H110">
        <v>1407.66113702698</v>
      </c>
      <c r="I110">
        <v>690.05102311013104</v>
      </c>
      <c r="J110">
        <v>910.58708918180503</v>
      </c>
      <c r="K110">
        <v>864.443424370446</v>
      </c>
      <c r="L110">
        <v>1090.68111815768</v>
      </c>
      <c r="M110">
        <v>908.96272276947195</v>
      </c>
      <c r="N110">
        <v>1105.6124648080499</v>
      </c>
      <c r="O110">
        <v>1023.43138268208</v>
      </c>
      <c r="P110">
        <v>968.11934960129304</v>
      </c>
      <c r="Q110">
        <v>612.64652035118297</v>
      </c>
      <c r="S110" s="5">
        <f t="shared" si="9"/>
        <v>988.70665024578193</v>
      </c>
      <c r="T110" s="5">
        <f t="shared" si="11"/>
        <v>921.19231788978016</v>
      </c>
      <c r="U110" s="5"/>
      <c r="V110" s="7">
        <v>987.62534005830798</v>
      </c>
      <c r="W110" s="10"/>
      <c r="X110" s="5"/>
      <c r="Y110" s="7">
        <f t="shared" si="12"/>
        <v>36.294977324857335</v>
      </c>
      <c r="Z110" s="10">
        <f t="shared" si="10"/>
        <v>38.912438398297333</v>
      </c>
    </row>
    <row r="111" spans="1:26" x14ac:dyDescent="0.3">
      <c r="A111" s="2">
        <v>2007</v>
      </c>
      <c r="B111">
        <v>664.39466546374001</v>
      </c>
      <c r="C111">
        <v>649.83202861454197</v>
      </c>
      <c r="D111">
        <v>642.53251574797798</v>
      </c>
      <c r="E111">
        <v>671.93800118608101</v>
      </c>
      <c r="F111">
        <v>766.529136587886</v>
      </c>
      <c r="G111">
        <v>815.21721617798005</v>
      </c>
      <c r="H111">
        <v>941.36562061259599</v>
      </c>
      <c r="I111">
        <v>476.30351907805101</v>
      </c>
      <c r="J111">
        <v>711.43731471132605</v>
      </c>
      <c r="K111">
        <v>571.54039584849704</v>
      </c>
      <c r="L111">
        <v>696.00337588318598</v>
      </c>
      <c r="M111">
        <v>748.70681181462101</v>
      </c>
      <c r="N111">
        <v>723.75654401602799</v>
      </c>
      <c r="O111">
        <v>810.22733124865999</v>
      </c>
      <c r="P111">
        <v>636.14412213255298</v>
      </c>
      <c r="Q111">
        <v>507.41920299884401</v>
      </c>
      <c r="S111" s="5">
        <f t="shared" si="9"/>
        <v>689.58423763266057</v>
      </c>
      <c r="T111" s="5">
        <f t="shared" si="11"/>
        <v>662.49787291652194</v>
      </c>
      <c r="U111" s="5"/>
      <c r="V111" s="7">
        <v>684.11648881257304</v>
      </c>
      <c r="W111" s="10"/>
      <c r="X111" s="5"/>
      <c r="Y111" s="7">
        <f t="shared" si="12"/>
        <v>26.102416192910962</v>
      </c>
      <c r="Z111" s="10">
        <f t="shared" si="10"/>
        <v>26.954189659215377</v>
      </c>
    </row>
    <row r="112" spans="1:26" x14ac:dyDescent="0.3">
      <c r="A112" s="2">
        <v>2008</v>
      </c>
      <c r="B112">
        <v>797.61132287895202</v>
      </c>
      <c r="C112">
        <v>755.02636724379397</v>
      </c>
      <c r="D112">
        <v>728.26815088095702</v>
      </c>
      <c r="E112">
        <v>766.24734789015895</v>
      </c>
      <c r="F112">
        <v>933.21286462057901</v>
      </c>
      <c r="G112">
        <v>1068.3951303561701</v>
      </c>
      <c r="H112">
        <v>1328.9847045188701</v>
      </c>
      <c r="I112">
        <v>536.55437163955798</v>
      </c>
      <c r="J112">
        <v>797.01342551303696</v>
      </c>
      <c r="K112">
        <v>663.81317611119402</v>
      </c>
      <c r="L112">
        <v>848.32098186602502</v>
      </c>
      <c r="M112">
        <v>860.11634230485595</v>
      </c>
      <c r="N112">
        <v>809.78536203537897</v>
      </c>
      <c r="O112">
        <v>959.68494436896003</v>
      </c>
      <c r="P112">
        <v>754.90576933329203</v>
      </c>
      <c r="Q112">
        <v>540.45748616729702</v>
      </c>
      <c r="S112" s="5">
        <f t="shared" si="9"/>
        <v>821.77485923306745</v>
      </c>
      <c r="T112" s="5">
        <f t="shared" si="11"/>
        <v>772.60853519127056</v>
      </c>
      <c r="U112" s="5"/>
      <c r="V112" s="7">
        <v>825.56522284492996</v>
      </c>
      <c r="W112" s="10"/>
      <c r="X112" s="5"/>
      <c r="Y112" s="7">
        <f t="shared" si="12"/>
        <v>30.440776286536057</v>
      </c>
      <c r="Z112" s="10">
        <f t="shared" si="10"/>
        <v>32.527269780090236</v>
      </c>
    </row>
    <row r="113" spans="1:26" x14ac:dyDescent="0.3">
      <c r="A113" s="2">
        <v>2009</v>
      </c>
      <c r="B113">
        <v>959.22158666751204</v>
      </c>
      <c r="C113">
        <v>907.84300420046998</v>
      </c>
      <c r="D113">
        <v>869.86937059151103</v>
      </c>
      <c r="E113">
        <v>869.00074837378304</v>
      </c>
      <c r="F113">
        <v>984.34283175774794</v>
      </c>
      <c r="G113">
        <v>1081.7773415705601</v>
      </c>
      <c r="H113">
        <v>1320.3892773503301</v>
      </c>
      <c r="I113">
        <v>619.814217764555</v>
      </c>
      <c r="J113">
        <v>912.60921298659196</v>
      </c>
      <c r="K113">
        <v>767.99055849970898</v>
      </c>
      <c r="L113">
        <v>999.08177660085096</v>
      </c>
      <c r="M113">
        <v>900.50915878067804</v>
      </c>
      <c r="N113">
        <v>1005.50430529811</v>
      </c>
      <c r="O113">
        <v>1041.5878352965101</v>
      </c>
      <c r="P113">
        <v>862.06762782332305</v>
      </c>
      <c r="Q113">
        <v>649.68872226523195</v>
      </c>
      <c r="S113" s="5">
        <f t="shared" si="9"/>
        <v>921.95609848921708</v>
      </c>
      <c r="T113" s="5">
        <f t="shared" si="11"/>
        <v>874.76079799036359</v>
      </c>
      <c r="U113" s="5"/>
      <c r="V113" s="7">
        <v>916.12075965312101</v>
      </c>
      <c r="W113" s="10"/>
      <c r="X113" s="5"/>
      <c r="Y113" s="7">
        <f t="shared" si="12"/>
        <v>34.465575440820324</v>
      </c>
      <c r="Z113" s="10">
        <f t="shared" si="10"/>
        <v>36.095157930332967</v>
      </c>
    </row>
    <row r="114" spans="1:26" x14ac:dyDescent="0.3">
      <c r="A114" s="2">
        <v>2010</v>
      </c>
      <c r="B114">
        <v>782.59222865848005</v>
      </c>
      <c r="C114">
        <v>753.520754690334</v>
      </c>
      <c r="D114">
        <v>727.18471177895799</v>
      </c>
      <c r="E114">
        <v>750.15694131202804</v>
      </c>
      <c r="F114">
        <v>876.25399556514503</v>
      </c>
      <c r="G114">
        <v>970.61814310905697</v>
      </c>
      <c r="H114">
        <v>1170.98387726084</v>
      </c>
      <c r="I114">
        <v>571.86530694240798</v>
      </c>
      <c r="J114">
        <v>738.76165530176002</v>
      </c>
      <c r="K114">
        <v>654.86490202811399</v>
      </c>
      <c r="L114">
        <v>797.88262663845603</v>
      </c>
      <c r="M114">
        <v>811.67514775870495</v>
      </c>
      <c r="N114">
        <v>735.972498648954</v>
      </c>
      <c r="O114">
        <v>895.09027683260899</v>
      </c>
      <c r="P114">
        <v>679.01954332647097</v>
      </c>
      <c r="Q114">
        <v>566.18798710490603</v>
      </c>
      <c r="S114" s="5">
        <f t="shared" si="9"/>
        <v>780.16441230982662</v>
      </c>
      <c r="T114" s="5">
        <f t="shared" si="11"/>
        <v>736.68888036968974</v>
      </c>
      <c r="U114" s="5"/>
      <c r="V114" s="7">
        <v>785.14792168199801</v>
      </c>
      <c r="W114" s="10"/>
      <c r="X114" s="5"/>
      <c r="Y114" s="7">
        <f t="shared" si="12"/>
        <v>29.025541886565772</v>
      </c>
      <c r="Z114" s="10">
        <f t="shared" si="10"/>
        <v>30.934828114270719</v>
      </c>
    </row>
    <row r="115" spans="1:26" x14ac:dyDescent="0.3">
      <c r="A115" s="2">
        <v>2011</v>
      </c>
      <c r="B115">
        <v>1250.2506156971001</v>
      </c>
      <c r="C115">
        <v>1191.94637405656</v>
      </c>
      <c r="D115">
        <v>1151.7533716365001</v>
      </c>
      <c r="E115">
        <v>1158.22046097726</v>
      </c>
      <c r="F115">
        <v>1314.89099804699</v>
      </c>
      <c r="G115">
        <v>1458.8640876309801</v>
      </c>
      <c r="H115">
        <v>1787.3883460124</v>
      </c>
      <c r="I115">
        <v>946.072117712313</v>
      </c>
      <c r="J115">
        <v>1119.38744979028</v>
      </c>
      <c r="K115">
        <v>1104.9752357145001</v>
      </c>
      <c r="L115">
        <v>1296.9163979970001</v>
      </c>
      <c r="M115">
        <v>1241.85956930148</v>
      </c>
      <c r="N115">
        <v>1349.0154052021701</v>
      </c>
      <c r="O115">
        <v>1332.0985671738499</v>
      </c>
      <c r="P115">
        <v>1169.17339103464</v>
      </c>
      <c r="Q115">
        <v>839.88526757429395</v>
      </c>
      <c r="S115" s="5">
        <f t="shared" si="9"/>
        <v>1232.0436034723948</v>
      </c>
      <c r="T115" s="5">
        <f t="shared" si="11"/>
        <v>1165.9524384838444</v>
      </c>
      <c r="U115" s="5"/>
      <c r="V115" s="7">
        <v>1214.6622337342801</v>
      </c>
      <c r="W115" s="10"/>
      <c r="X115" s="5"/>
      <c r="Y115" s="7">
        <f t="shared" si="12"/>
        <v>45.938526076263464</v>
      </c>
      <c r="Z115" s="10">
        <f t="shared" si="10"/>
        <v>47.857692009130631</v>
      </c>
    </row>
    <row r="116" spans="1:26" x14ac:dyDescent="0.3">
      <c r="A116" s="2">
        <v>2012</v>
      </c>
      <c r="B116">
        <v>586.58635079357896</v>
      </c>
      <c r="C116">
        <v>552.33232221339199</v>
      </c>
      <c r="D116">
        <v>535.62236957769198</v>
      </c>
      <c r="E116">
        <v>545.21478481954796</v>
      </c>
      <c r="F116">
        <v>625.30604386412301</v>
      </c>
      <c r="G116">
        <v>727.94183240142002</v>
      </c>
      <c r="H116">
        <v>914.18079051833001</v>
      </c>
      <c r="I116">
        <v>448.45142891814402</v>
      </c>
      <c r="J116">
        <v>676.25690376875104</v>
      </c>
      <c r="K116">
        <v>552.63977884249698</v>
      </c>
      <c r="L116">
        <v>695.60415431895501</v>
      </c>
      <c r="M116">
        <v>636.34282455842094</v>
      </c>
      <c r="N116">
        <v>696.10195784859798</v>
      </c>
      <c r="O116">
        <v>641.25547010486798</v>
      </c>
      <c r="P116">
        <v>574.91556393054304</v>
      </c>
      <c r="Q116">
        <v>392.98837242209601</v>
      </c>
      <c r="S116" s="5">
        <f t="shared" si="9"/>
        <v>612.60880930630992</v>
      </c>
      <c r="T116" s="5">
        <f t="shared" si="11"/>
        <v>592.68778793845206</v>
      </c>
      <c r="U116" s="5"/>
      <c r="V116" s="7">
        <v>585.83138747998805</v>
      </c>
      <c r="W116" s="10"/>
      <c r="X116" s="5"/>
      <c r="Y116" s="7">
        <f t="shared" si="12"/>
        <v>23.351898844775011</v>
      </c>
      <c r="Z116" s="10">
        <f t="shared" si="10"/>
        <v>23.081756666711527</v>
      </c>
    </row>
    <row r="117" spans="1:26" x14ac:dyDescent="0.3">
      <c r="A117" s="2">
        <v>2013</v>
      </c>
      <c r="B117">
        <v>731.15554997357503</v>
      </c>
      <c r="C117">
        <v>717.60267157583803</v>
      </c>
      <c r="D117">
        <v>710.06546245237701</v>
      </c>
      <c r="E117">
        <v>739.29755839702295</v>
      </c>
      <c r="F117">
        <v>816.58431363826105</v>
      </c>
      <c r="G117">
        <v>901.68856799286004</v>
      </c>
      <c r="H117">
        <v>1073.0276009802501</v>
      </c>
      <c r="I117">
        <v>526.70474083615397</v>
      </c>
      <c r="J117">
        <v>733.87145584375503</v>
      </c>
      <c r="K117">
        <v>602.12869384597104</v>
      </c>
      <c r="L117">
        <v>727.58909928538503</v>
      </c>
      <c r="M117">
        <v>759.71971817705105</v>
      </c>
      <c r="N117">
        <v>652.63356645164697</v>
      </c>
      <c r="O117">
        <v>791.55031520074897</v>
      </c>
      <c r="P117">
        <v>603.51349636412897</v>
      </c>
      <c r="Q117">
        <v>514.07700002484</v>
      </c>
      <c r="S117" s="5">
        <f t="shared" si="9"/>
        <v>725.07561318999149</v>
      </c>
      <c r="T117" s="5">
        <f t="shared" si="11"/>
        <v>679.30694810055672</v>
      </c>
      <c r="U117" s="5"/>
      <c r="V117" s="7">
        <v>729.92862482581404</v>
      </c>
      <c r="W117" s="10"/>
      <c r="X117" s="5"/>
      <c r="Y117" s="7">
        <f t="shared" si="12"/>
        <v>26.764693755161932</v>
      </c>
      <c r="Z117" s="10">
        <f t="shared" si="10"/>
        <v>28.759187818137072</v>
      </c>
    </row>
    <row r="118" spans="1:26" x14ac:dyDescent="0.3">
      <c r="A118" s="2">
        <v>2014</v>
      </c>
      <c r="B118">
        <v>790.35924052728603</v>
      </c>
      <c r="C118">
        <v>764.90463380193205</v>
      </c>
      <c r="D118">
        <v>754.49048736548104</v>
      </c>
      <c r="E118">
        <v>782.83541393787004</v>
      </c>
      <c r="F118">
        <v>886.68624538511699</v>
      </c>
      <c r="G118">
        <v>999.71536195810995</v>
      </c>
      <c r="H118">
        <v>1197.75199940478</v>
      </c>
      <c r="I118">
        <v>738.64343565937997</v>
      </c>
      <c r="J118">
        <v>1041.0051042350699</v>
      </c>
      <c r="K118">
        <v>843.60867890376801</v>
      </c>
      <c r="L118">
        <v>1005.89318564543</v>
      </c>
      <c r="M118">
        <v>915.83964594088604</v>
      </c>
      <c r="N118">
        <v>922.99568936101605</v>
      </c>
      <c r="O118">
        <v>974.10067693214501</v>
      </c>
      <c r="P118">
        <v>846.919625462157</v>
      </c>
      <c r="Q118">
        <v>614.635434554516</v>
      </c>
      <c r="S118" s="5">
        <f t="shared" si="9"/>
        <v>880.024053692184</v>
      </c>
      <c r="T118" s="5">
        <f t="shared" si="11"/>
        <v>877.1519347967145</v>
      </c>
      <c r="U118" s="5"/>
      <c r="V118" s="7">
        <v>833.18659317948504</v>
      </c>
      <c r="W118" s="10"/>
      <c r="X118" s="5"/>
      <c r="Y118" s="7">
        <f t="shared" si="12"/>
        <v>34.559786230990547</v>
      </c>
      <c r="Z118" s="10">
        <f t="shared" si="10"/>
        <v>32.827551771271708</v>
      </c>
    </row>
    <row r="119" spans="1:26" x14ac:dyDescent="0.3">
      <c r="A119" s="2">
        <v>2015</v>
      </c>
      <c r="B119">
        <v>758.59126004757195</v>
      </c>
      <c r="C119">
        <v>724.93158144527399</v>
      </c>
      <c r="D119">
        <v>693.52131465419995</v>
      </c>
      <c r="E119">
        <v>685.96915356954901</v>
      </c>
      <c r="F119">
        <v>770.907513589632</v>
      </c>
      <c r="G119">
        <v>841.97656171655501</v>
      </c>
      <c r="H119">
        <v>992.69192336793799</v>
      </c>
      <c r="I119">
        <v>531.68535491380896</v>
      </c>
      <c r="J119">
        <v>802.81874480206</v>
      </c>
      <c r="K119">
        <v>626.49514729754503</v>
      </c>
      <c r="L119">
        <v>775.43517395191498</v>
      </c>
      <c r="M119">
        <v>664.01440123340001</v>
      </c>
      <c r="N119">
        <v>741.96123532517004</v>
      </c>
      <c r="O119">
        <v>715.28828718588397</v>
      </c>
      <c r="P119">
        <v>651.84495110367197</v>
      </c>
      <c r="Q119">
        <v>446.76283092143501</v>
      </c>
      <c r="S119" s="5">
        <f t="shared" si="9"/>
        <v>714.05596469535067</v>
      </c>
      <c r="T119" s="5">
        <f t="shared" si="11"/>
        <v>670.84720554012301</v>
      </c>
      <c r="U119" s="5"/>
      <c r="V119" s="7">
        <v>684.19314625833294</v>
      </c>
      <c r="W119" s="10"/>
      <c r="X119" s="5"/>
      <c r="Y119" s="7">
        <f t="shared" si="12"/>
        <v>26.431379898280845</v>
      </c>
      <c r="Z119" s="10">
        <f t="shared" si="10"/>
        <v>26.957209962578315</v>
      </c>
    </row>
    <row r="120" spans="1:26" x14ac:dyDescent="0.3">
      <c r="A120" s="2">
        <v>2016</v>
      </c>
      <c r="B120">
        <v>720.33684216568702</v>
      </c>
      <c r="C120">
        <v>691.05984246424703</v>
      </c>
      <c r="D120">
        <v>672.71724051237697</v>
      </c>
      <c r="E120">
        <v>695.62193715680701</v>
      </c>
      <c r="F120">
        <v>807.99202138682995</v>
      </c>
      <c r="G120">
        <v>915.34684566721205</v>
      </c>
      <c r="H120">
        <v>1123.69565462218</v>
      </c>
      <c r="I120">
        <v>622.84493642536199</v>
      </c>
      <c r="J120">
        <v>805.41285820819201</v>
      </c>
      <c r="K120">
        <v>751.99957361996496</v>
      </c>
      <c r="L120">
        <v>882.73944203501503</v>
      </c>
      <c r="M120">
        <v>824.39142121638304</v>
      </c>
      <c r="N120">
        <v>866.99215259621599</v>
      </c>
      <c r="O120">
        <v>832.28174474869002</v>
      </c>
      <c r="P120">
        <v>810.16967887327201</v>
      </c>
      <c r="Q120">
        <v>531.90339218603197</v>
      </c>
      <c r="S120" s="5">
        <f t="shared" si="9"/>
        <v>784.71909899277921</v>
      </c>
      <c r="T120" s="5">
        <f t="shared" si="11"/>
        <v>770.18447113267086</v>
      </c>
      <c r="U120" s="5"/>
      <c r="V120" s="7">
        <v>752.51116517499997</v>
      </c>
      <c r="W120" s="10"/>
      <c r="X120" s="5"/>
      <c r="Y120" s="7">
        <f t="shared" si="12"/>
        <v>30.345268162627232</v>
      </c>
      <c r="Z120" s="10">
        <f t="shared" si="10"/>
        <v>29.648939907894999</v>
      </c>
    </row>
    <row r="121" spans="1:26" x14ac:dyDescent="0.3">
      <c r="A121" s="2">
        <v>2017</v>
      </c>
      <c r="B121">
        <v>1008.03429982469</v>
      </c>
      <c r="C121">
        <v>971.60185343864805</v>
      </c>
      <c r="D121">
        <v>948.10223437020704</v>
      </c>
      <c r="E121">
        <v>965.14489487626702</v>
      </c>
      <c r="F121">
        <v>1095.3994737632299</v>
      </c>
      <c r="G121">
        <v>1220.7671332256</v>
      </c>
      <c r="H121">
        <v>1475.1125323305</v>
      </c>
      <c r="I121">
        <v>901.44699346900597</v>
      </c>
      <c r="J121">
        <v>1186.4323361832701</v>
      </c>
      <c r="K121">
        <v>1089.9240021375099</v>
      </c>
      <c r="L121">
        <v>1357.0890547674301</v>
      </c>
      <c r="M121">
        <v>1038.1922932621801</v>
      </c>
      <c r="N121">
        <v>1278.11836388389</v>
      </c>
      <c r="O121">
        <v>1106.25225349936</v>
      </c>
      <c r="P121">
        <v>1068.8421136945201</v>
      </c>
      <c r="Q121">
        <v>683.90141663968802</v>
      </c>
      <c r="S121" s="5">
        <f t="shared" si="9"/>
        <v>1087.147578085375</v>
      </c>
      <c r="T121" s="5">
        <f t="shared" si="11"/>
        <v>1072.3685425144934</v>
      </c>
      <c r="U121" s="5"/>
      <c r="V121" s="7">
        <v>1016.47076879167</v>
      </c>
      <c r="W121" s="10"/>
      <c r="X121" s="5"/>
      <c r="Y121" s="7">
        <f t="shared" si="12"/>
        <v>42.251320575071034</v>
      </c>
      <c r="Z121" s="10">
        <f t="shared" si="10"/>
        <v>40.048948290391799</v>
      </c>
    </row>
    <row r="122" spans="1:26" x14ac:dyDescent="0.3">
      <c r="A122" s="2">
        <v>2018</v>
      </c>
      <c r="B122">
        <v>499.38751089575902</v>
      </c>
      <c r="C122">
        <v>492.00205350818499</v>
      </c>
      <c r="D122">
        <v>488.16307363475499</v>
      </c>
      <c r="E122">
        <v>521.83614560968999</v>
      </c>
      <c r="F122">
        <v>628.51541726850701</v>
      </c>
      <c r="G122">
        <v>723.02257425690402</v>
      </c>
      <c r="H122">
        <v>869.26325781671096</v>
      </c>
      <c r="I122">
        <v>443.84969349642</v>
      </c>
      <c r="J122">
        <v>687.78302511630795</v>
      </c>
      <c r="K122">
        <v>529.89160394654095</v>
      </c>
      <c r="L122">
        <v>706.514152072201</v>
      </c>
      <c r="M122">
        <v>542.05465104919995</v>
      </c>
      <c r="N122">
        <v>556.60747807278699</v>
      </c>
      <c r="O122">
        <v>531.17662504547502</v>
      </c>
      <c r="P122">
        <v>497.48813838332802</v>
      </c>
      <c r="Q122">
        <v>352.24283635383301</v>
      </c>
      <c r="S122" s="5">
        <f t="shared" si="9"/>
        <v>566.8623897829126</v>
      </c>
      <c r="T122" s="5">
        <f t="shared" si="11"/>
        <v>550.06304285664646</v>
      </c>
      <c r="U122" s="5"/>
      <c r="V122" s="7">
        <v>541.61592388333304</v>
      </c>
      <c r="W122" s="10"/>
      <c r="X122" s="5"/>
      <c r="Y122" s="7">
        <f t="shared" si="12"/>
        <v>21.67248388855187</v>
      </c>
      <c r="Z122" s="10">
        <f t="shared" si="10"/>
        <v>21.339667401003322</v>
      </c>
    </row>
    <row r="123" spans="1:26" x14ac:dyDescent="0.3">
      <c r="A123" s="2">
        <v>2019</v>
      </c>
      <c r="B123">
        <v>1069.57201533739</v>
      </c>
      <c r="C123">
        <v>1050.40861326748</v>
      </c>
      <c r="D123">
        <v>1012.26101332716</v>
      </c>
      <c r="E123">
        <v>1019.83090101425</v>
      </c>
      <c r="F123">
        <v>1162.2479544771199</v>
      </c>
      <c r="G123">
        <v>1293.9656128665699</v>
      </c>
      <c r="H123">
        <v>1494.75163373127</v>
      </c>
      <c r="I123">
        <v>737.27113478699198</v>
      </c>
      <c r="J123">
        <v>856.98405836488098</v>
      </c>
      <c r="K123">
        <v>870.34333238025397</v>
      </c>
      <c r="L123">
        <v>1000.6077706807</v>
      </c>
      <c r="M123">
        <v>925.12005574716397</v>
      </c>
      <c r="N123">
        <v>1099.5804763497599</v>
      </c>
      <c r="O123">
        <v>1023.62131497792</v>
      </c>
      <c r="P123">
        <v>948.54354017357605</v>
      </c>
      <c r="Q123">
        <v>591.37004859389799</v>
      </c>
      <c r="S123" s="5">
        <f t="shared" si="9"/>
        <v>1009.779967254774</v>
      </c>
      <c r="T123" s="5">
        <f t="shared" si="11"/>
        <v>911.46978314021976</v>
      </c>
      <c r="U123" s="5"/>
      <c r="V123" s="7">
        <v>988.33227676154695</v>
      </c>
      <c r="W123" s="10"/>
      <c r="X123" s="5"/>
      <c r="Y123" s="7">
        <f t="shared" si="12"/>
        <v>35.911909455724654</v>
      </c>
      <c r="Z123" s="10">
        <f t="shared" si="10"/>
        <v>38.940291704404949</v>
      </c>
    </row>
    <row r="124" spans="1:26" x14ac:dyDescent="0.3">
      <c r="A124" s="2">
        <v>2020</v>
      </c>
      <c r="B124">
        <v>601.73816808921902</v>
      </c>
      <c r="C124">
        <v>573.13851384733596</v>
      </c>
      <c r="D124">
        <v>555.87013521452798</v>
      </c>
      <c r="E124">
        <v>585.56571996719401</v>
      </c>
      <c r="F124">
        <v>705.74948469201195</v>
      </c>
      <c r="G124">
        <v>815.95538211901896</v>
      </c>
      <c r="H124">
        <v>1000.11490366732</v>
      </c>
      <c r="I124">
        <v>511.702257557888</v>
      </c>
      <c r="J124">
        <v>762.55822851048697</v>
      </c>
      <c r="K124">
        <v>632.64196479410498</v>
      </c>
      <c r="L124">
        <v>825.11691790030602</v>
      </c>
      <c r="M124">
        <v>639.77729534734306</v>
      </c>
      <c r="N124">
        <v>631.16600944960305</v>
      </c>
      <c r="O124">
        <v>659.299223920484</v>
      </c>
      <c r="P124">
        <v>613.50194787911403</v>
      </c>
      <c r="Q124">
        <v>379.596563506503</v>
      </c>
      <c r="S124" s="5">
        <f t="shared" si="9"/>
        <v>655.84329477890378</v>
      </c>
      <c r="T124" s="5">
        <f t="shared" si="11"/>
        <v>639.94526337854018</v>
      </c>
      <c r="U124" s="5"/>
      <c r="V124" s="7">
        <v>856.81071080509196</v>
      </c>
      <c r="W124" s="10"/>
      <c r="X124" s="5"/>
      <c r="Y124" s="7">
        <f t="shared" si="12"/>
        <v>25.213843377114483</v>
      </c>
      <c r="Z124" s="10">
        <f t="shared" si="10"/>
        <v>33.758342005720621</v>
      </c>
    </row>
    <row r="125" spans="1:26" x14ac:dyDescent="0.3">
      <c r="A125" s="2">
        <v>2021</v>
      </c>
      <c r="B125">
        <v>628.60464098307295</v>
      </c>
      <c r="C125">
        <v>605.87579406066402</v>
      </c>
      <c r="D125">
        <v>599.64988593656403</v>
      </c>
      <c r="E125">
        <v>628.20530345843304</v>
      </c>
      <c r="F125">
        <v>706.30275939364401</v>
      </c>
      <c r="G125">
        <v>773.51451134017702</v>
      </c>
      <c r="H125">
        <v>914.67024042192304</v>
      </c>
      <c r="I125">
        <v>455.13642098321901</v>
      </c>
      <c r="J125">
        <v>667.11352235117499</v>
      </c>
      <c r="K125">
        <v>506.77721313215</v>
      </c>
      <c r="L125">
        <v>651.23382214759397</v>
      </c>
      <c r="M125">
        <v>679.08220511284696</v>
      </c>
      <c r="N125">
        <v>507.30262290482</v>
      </c>
      <c r="O125">
        <v>682.83332131513396</v>
      </c>
      <c r="P125">
        <v>530.29220450336402</v>
      </c>
      <c r="Q125">
        <v>437.41080640664802</v>
      </c>
      <c r="S125" s="5">
        <f t="shared" si="9"/>
        <v>623.37532965321429</v>
      </c>
      <c r="T125" s="5">
        <f t="shared" si="11"/>
        <v>589.89154439846561</v>
      </c>
      <c r="U125" s="5"/>
      <c r="V125" s="7">
        <v>758.16953633775097</v>
      </c>
      <c r="W125" s="10"/>
      <c r="X125" s="5"/>
      <c r="Y125" s="7">
        <f t="shared" si="12"/>
        <v>23.241726849299543</v>
      </c>
      <c r="Z125" s="10">
        <f t="shared" si="10"/>
        <v>29.871879731707388</v>
      </c>
    </row>
    <row r="126" spans="1:26" x14ac:dyDescent="0.3">
      <c r="A126" s="2">
        <v>2022</v>
      </c>
      <c r="B126">
        <v>766.30652098117503</v>
      </c>
      <c r="C126">
        <v>749.41740101297705</v>
      </c>
      <c r="D126">
        <v>743.62760294585803</v>
      </c>
      <c r="E126">
        <v>778.74521208293902</v>
      </c>
      <c r="F126">
        <v>879.55932167885203</v>
      </c>
      <c r="G126">
        <v>948.37524119747502</v>
      </c>
      <c r="H126">
        <v>1129.5646370408999</v>
      </c>
      <c r="I126">
        <v>602.15807079358103</v>
      </c>
      <c r="J126">
        <v>750.648616247002</v>
      </c>
      <c r="K126">
        <v>680.57392477416204</v>
      </c>
      <c r="L126">
        <v>833.72010504072603</v>
      </c>
      <c r="M126">
        <v>841.17123474953905</v>
      </c>
      <c r="N126">
        <v>771.88412961274901</v>
      </c>
      <c r="O126">
        <v>810.79484425660701</v>
      </c>
      <c r="P126">
        <v>730.11889403527005</v>
      </c>
      <c r="Q126">
        <v>564.59522698878197</v>
      </c>
      <c r="S126" s="5">
        <f>AVERAGE(B126:Q126)</f>
        <v>786.32881146491206</v>
      </c>
      <c r="T126" s="5">
        <f t="shared" si="11"/>
        <v>747.18629636403284</v>
      </c>
      <c r="U126" s="5"/>
      <c r="V126" s="7">
        <v>675.96855761496602</v>
      </c>
      <c r="W126" s="10"/>
      <c r="X126" s="5"/>
      <c r="Y126" s="7">
        <f t="shared" si="12"/>
        <v>29.439140076742891</v>
      </c>
      <c r="Z126" s="10">
        <f t="shared" si="10"/>
        <v>26.633161170029659</v>
      </c>
    </row>
    <row r="127" spans="1:26" s="19" customFormat="1" x14ac:dyDescent="0.3">
      <c r="A127" s="19">
        <v>2023</v>
      </c>
      <c r="B127" s="20">
        <v>1172.9835873500199</v>
      </c>
      <c r="C127" s="20">
        <v>1121.0347244950001</v>
      </c>
      <c r="D127" s="20">
        <v>1080.4832306292269</v>
      </c>
      <c r="E127" s="20">
        <v>1127.185369609288</v>
      </c>
      <c r="F127" s="20">
        <v>1346.8869331509638</v>
      </c>
      <c r="G127" s="20">
        <v>1617.0254700254079</v>
      </c>
      <c r="H127" s="20">
        <v>2022.34660904368</v>
      </c>
      <c r="I127" s="20">
        <v>931.35828871070191</v>
      </c>
      <c r="J127" s="20">
        <v>1063.6463830400428</v>
      </c>
      <c r="K127" s="20">
        <v>1093.7043033091361</v>
      </c>
      <c r="L127" s="20">
        <v>1398.9648248814158</v>
      </c>
      <c r="M127" s="20">
        <v>1117.6697498370208</v>
      </c>
      <c r="N127" s="20">
        <v>1319.739194118052</v>
      </c>
      <c r="O127" s="20">
        <v>1185.7079723300201</v>
      </c>
      <c r="P127" s="20">
        <v>1174.9781990468439</v>
      </c>
      <c r="Q127" s="20">
        <v>742.85462749886926</v>
      </c>
      <c r="S127" s="21">
        <f>AVERAGE(B127:Q127)</f>
        <v>1219.7855916922306</v>
      </c>
      <c r="T127" s="21">
        <f t="shared" si="11"/>
        <v>1135.2278236413599</v>
      </c>
      <c r="U127" s="21"/>
      <c r="V127" s="22">
        <v>1241.51129122772</v>
      </c>
      <c r="W127" s="23"/>
      <c r="X127" s="21"/>
      <c r="Y127" s="22">
        <f t="shared" si="12"/>
        <v>44.727976251469578</v>
      </c>
      <c r="Z127" s="23">
        <f>V127*0.0394</f>
        <v>48.915544874372166</v>
      </c>
    </row>
    <row r="128" spans="1:26" x14ac:dyDescent="0.3">
      <c r="A128" s="2">
        <v>2024</v>
      </c>
      <c r="B128">
        <v>892.32504478292299</v>
      </c>
      <c r="C128">
        <v>845.24266362355002</v>
      </c>
      <c r="D128">
        <v>819.59218050136406</v>
      </c>
      <c r="E128">
        <v>832.02648089285697</v>
      </c>
      <c r="F128">
        <v>948.06614556919101</v>
      </c>
      <c r="G128">
        <v>1064.11022413263</v>
      </c>
      <c r="H128">
        <v>1314.07515080346</v>
      </c>
      <c r="I128">
        <v>646.14998994746202</v>
      </c>
      <c r="J128">
        <v>720.75434680026797</v>
      </c>
      <c r="K128">
        <v>748.220320058619</v>
      </c>
      <c r="L128">
        <v>923.03332092689504</v>
      </c>
      <c r="M128">
        <v>779.58304867655499</v>
      </c>
      <c r="N128">
        <v>870.43979188211802</v>
      </c>
      <c r="O128">
        <v>813.06923035242505</v>
      </c>
      <c r="P128">
        <v>800.16458781798997</v>
      </c>
      <c r="Q128">
        <v>534.09969063692802</v>
      </c>
      <c r="S128" s="5">
        <f t="shared" si="9"/>
        <v>846.93451358782704</v>
      </c>
      <c r="T128" s="5">
        <f t="shared" si="11"/>
        <v>777.97613768764006</v>
      </c>
      <c r="U128" s="5"/>
      <c r="V128" s="5"/>
      <c r="W128" s="10"/>
      <c r="X128" s="5"/>
      <c r="Y128" s="7">
        <f t="shared" si="12"/>
        <v>30.652259824893015</v>
      </c>
      <c r="Z128" s="10"/>
    </row>
    <row r="129" spans="1:26" x14ac:dyDescent="0.3">
      <c r="A129" s="2">
        <v>2025</v>
      </c>
      <c r="B129">
        <v>664.20854723453499</v>
      </c>
      <c r="C129">
        <v>634.42588341236103</v>
      </c>
      <c r="D129">
        <v>624.158881425858</v>
      </c>
      <c r="E129">
        <v>638.78547871112801</v>
      </c>
      <c r="F129">
        <v>727.61424005031597</v>
      </c>
      <c r="G129">
        <v>810.27198565006302</v>
      </c>
      <c r="H129">
        <v>1015.50836539268</v>
      </c>
      <c r="I129">
        <v>513.17239987850201</v>
      </c>
      <c r="J129">
        <v>697.26535892486595</v>
      </c>
      <c r="K129">
        <v>600.24004662036896</v>
      </c>
      <c r="L129">
        <v>760.13486918061994</v>
      </c>
      <c r="M129">
        <v>656.30039024353005</v>
      </c>
      <c r="N129">
        <v>677.69451665878296</v>
      </c>
      <c r="O129">
        <v>671.06368017196701</v>
      </c>
      <c r="P129">
        <v>636.83662354946102</v>
      </c>
      <c r="Q129">
        <v>432.20018893852802</v>
      </c>
      <c r="S129" s="5">
        <f t="shared" si="9"/>
        <v>672.49259100272286</v>
      </c>
      <c r="T129" s="5">
        <f t="shared" si="11"/>
        <v>638.20827302962266</v>
      </c>
      <c r="U129" s="4"/>
      <c r="V129" s="5"/>
      <c r="W129" s="5"/>
      <c r="X129" s="5"/>
      <c r="Y129" s="2">
        <f t="shared" si="12"/>
        <v>25.145405957367132</v>
      </c>
      <c r="Z129" s="10"/>
    </row>
    <row r="130" spans="1:26" x14ac:dyDescent="0.3">
      <c r="A130" s="2" t="s">
        <v>37</v>
      </c>
    </row>
    <row r="131" spans="1:26" x14ac:dyDescent="0.3">
      <c r="A131" s="2">
        <v>2023</v>
      </c>
      <c r="B131">
        <v>1039.15298945835</v>
      </c>
      <c r="C131">
        <v>995.86227041250004</v>
      </c>
      <c r="D131">
        <v>962.06935885768905</v>
      </c>
      <c r="E131">
        <v>1000.98780800774</v>
      </c>
      <c r="F131">
        <v>1184.07244429247</v>
      </c>
      <c r="G131">
        <v>1409.18789168784</v>
      </c>
      <c r="H131">
        <v>1746.9555075364001</v>
      </c>
      <c r="I131">
        <v>837.79857392558495</v>
      </c>
      <c r="J131">
        <v>948.03865253336903</v>
      </c>
      <c r="K131">
        <v>973.08691942428004</v>
      </c>
      <c r="L131">
        <v>1227.4706874011799</v>
      </c>
      <c r="M131">
        <v>993.05812486418404</v>
      </c>
      <c r="N131">
        <v>1161.44932843171</v>
      </c>
      <c r="O131">
        <v>1049.75664360835</v>
      </c>
      <c r="P131">
        <v>1040.81516587237</v>
      </c>
      <c r="Q131">
        <v>680.71218958239103</v>
      </c>
    </row>
    <row r="132" spans="1:26" x14ac:dyDescent="0.3">
      <c r="A132" s="2">
        <v>2024</v>
      </c>
      <c r="B132">
        <v>892.32504478292299</v>
      </c>
      <c r="C132">
        <v>845.24266362355002</v>
      </c>
      <c r="D132">
        <v>819.59218050136406</v>
      </c>
      <c r="E132">
        <v>832.02648089285697</v>
      </c>
      <c r="F132">
        <v>948.06614556919101</v>
      </c>
      <c r="G132">
        <v>1064.11022413263</v>
      </c>
      <c r="H132">
        <v>1314.07515080346</v>
      </c>
      <c r="I132">
        <v>646.14998994746202</v>
      </c>
      <c r="J132">
        <v>720.75434680026797</v>
      </c>
      <c r="K132">
        <v>748.220320058619</v>
      </c>
      <c r="L132">
        <v>923.03332092689504</v>
      </c>
      <c r="M132">
        <v>779.58304867655499</v>
      </c>
      <c r="N132">
        <v>870.43979188211802</v>
      </c>
      <c r="O132">
        <v>813.06923035242505</v>
      </c>
      <c r="P132">
        <v>800.16458781798997</v>
      </c>
      <c r="Q132">
        <v>534.09969063692802</v>
      </c>
    </row>
    <row r="134" spans="1:26" x14ac:dyDescent="0.3">
      <c r="A134" s="2" t="s">
        <v>38</v>
      </c>
      <c r="B134"/>
      <c r="C134"/>
      <c r="D134"/>
      <c r="E134"/>
      <c r="F134"/>
      <c r="G134"/>
      <c r="H134"/>
      <c r="I134"/>
      <c r="J134"/>
      <c r="K134"/>
      <c r="L134"/>
      <c r="M134"/>
      <c r="N134"/>
      <c r="O134"/>
      <c r="P134"/>
      <c r="Q134"/>
    </row>
    <row r="135" spans="1:26" x14ac:dyDescent="0.3">
      <c r="A135" s="2">
        <v>2023</v>
      </c>
      <c r="B135">
        <f>(B131*1.2)-74</f>
        <v>1172.9835873500199</v>
      </c>
      <c r="C135">
        <f t="shared" ref="C135:Q136" si="13">(C131*1.2)-74</f>
        <v>1121.0347244950001</v>
      </c>
      <c r="D135">
        <f t="shared" si="13"/>
        <v>1080.4832306292269</v>
      </c>
      <c r="E135">
        <f t="shared" si="13"/>
        <v>1127.185369609288</v>
      </c>
      <c r="F135">
        <f t="shared" si="13"/>
        <v>1346.8869331509638</v>
      </c>
      <c r="G135">
        <f t="shared" si="13"/>
        <v>1617.0254700254079</v>
      </c>
      <c r="H135">
        <f t="shared" si="13"/>
        <v>2022.34660904368</v>
      </c>
      <c r="I135">
        <f t="shared" si="13"/>
        <v>931.35828871070191</v>
      </c>
      <c r="J135">
        <f t="shared" si="13"/>
        <v>1063.6463830400428</v>
      </c>
      <c r="K135">
        <f t="shared" si="13"/>
        <v>1093.7043033091361</v>
      </c>
      <c r="L135">
        <f t="shared" si="13"/>
        <v>1398.9648248814158</v>
      </c>
      <c r="M135">
        <f t="shared" si="13"/>
        <v>1117.6697498370208</v>
      </c>
      <c r="N135">
        <f t="shared" si="13"/>
        <v>1319.739194118052</v>
      </c>
      <c r="O135">
        <f t="shared" si="13"/>
        <v>1185.7079723300201</v>
      </c>
      <c r="P135">
        <f t="shared" si="13"/>
        <v>1174.9781990468439</v>
      </c>
      <c r="Q135">
        <f t="shared" si="13"/>
        <v>742.85462749886926</v>
      </c>
    </row>
    <row r="136" spans="1:26" x14ac:dyDescent="0.3">
      <c r="A136" s="2">
        <v>2024</v>
      </c>
      <c r="B136">
        <f>(B132*1.2)-74</f>
        <v>996.79005373950758</v>
      </c>
      <c r="C136">
        <f t="shared" si="13"/>
        <v>940.29119634825997</v>
      </c>
      <c r="D136">
        <f t="shared" si="13"/>
        <v>909.5106166016368</v>
      </c>
      <c r="E136">
        <f t="shared" si="13"/>
        <v>924.43177707142831</v>
      </c>
      <c r="F136">
        <f t="shared" si="13"/>
        <v>1063.6793746830292</v>
      </c>
      <c r="G136">
        <f t="shared" si="13"/>
        <v>1202.9322689591561</v>
      </c>
      <c r="H136">
        <f t="shared" si="13"/>
        <v>1502.890180964152</v>
      </c>
      <c r="I136">
        <f t="shared" si="13"/>
        <v>701.37998793695442</v>
      </c>
      <c r="J136">
        <f t="shared" si="13"/>
        <v>790.90521616032152</v>
      </c>
      <c r="K136">
        <f t="shared" si="13"/>
        <v>823.86438407034279</v>
      </c>
      <c r="L136">
        <f t="shared" si="13"/>
        <v>1033.639985112274</v>
      </c>
      <c r="M136">
        <f t="shared" si="13"/>
        <v>861.49965841186599</v>
      </c>
      <c r="N136">
        <f t="shared" si="13"/>
        <v>970.52775025854157</v>
      </c>
      <c r="O136">
        <f t="shared" si="13"/>
        <v>901.68307642291006</v>
      </c>
      <c r="P136">
        <f t="shared" si="13"/>
        <v>886.19750538158792</v>
      </c>
      <c r="Q136">
        <f t="shared" si="13"/>
        <v>566.91962876431364</v>
      </c>
    </row>
    <row r="137" spans="1:26" x14ac:dyDescent="0.3">
      <c r="B137"/>
      <c r="C137"/>
      <c r="D137"/>
      <c r="E137"/>
      <c r="F137"/>
      <c r="G137"/>
      <c r="H137"/>
      <c r="I137"/>
      <c r="J137"/>
      <c r="K137"/>
      <c r="L137"/>
      <c r="M137"/>
      <c r="N137"/>
      <c r="O137"/>
      <c r="P137"/>
      <c r="Q137"/>
    </row>
    <row r="138" spans="1:26" x14ac:dyDescent="0.3">
      <c r="B138"/>
      <c r="C138"/>
      <c r="D138"/>
      <c r="E138"/>
      <c r="F138"/>
      <c r="G138"/>
      <c r="H138"/>
      <c r="I138"/>
      <c r="J138"/>
      <c r="K138"/>
      <c r="L138"/>
      <c r="M138"/>
      <c r="N138"/>
      <c r="O138"/>
      <c r="P138"/>
      <c r="Q138"/>
    </row>
    <row r="139" spans="1:26" x14ac:dyDescent="0.3">
      <c r="B139"/>
      <c r="C139"/>
      <c r="D139"/>
      <c r="E139"/>
      <c r="F139"/>
      <c r="G139"/>
      <c r="H139"/>
      <c r="I139"/>
      <c r="J139"/>
      <c r="K139"/>
      <c r="L139"/>
      <c r="M139"/>
      <c r="N139"/>
      <c r="O139"/>
      <c r="P139"/>
      <c r="Q139"/>
    </row>
    <row r="140" spans="1:26" x14ac:dyDescent="0.3">
      <c r="B140"/>
      <c r="C140"/>
      <c r="D140"/>
      <c r="E140"/>
      <c r="F140"/>
      <c r="G140"/>
      <c r="H140"/>
      <c r="I140"/>
      <c r="J140"/>
      <c r="K140"/>
      <c r="L140"/>
      <c r="M140"/>
      <c r="N140"/>
      <c r="O140"/>
      <c r="P140"/>
      <c r="Q140"/>
    </row>
    <row r="141" spans="1:26" x14ac:dyDescent="0.3">
      <c r="B141"/>
      <c r="C141"/>
      <c r="D141"/>
      <c r="E141"/>
      <c r="F141"/>
      <c r="G141"/>
      <c r="H141"/>
      <c r="I141"/>
      <c r="J141"/>
      <c r="K141"/>
      <c r="L141"/>
      <c r="M141"/>
      <c r="N141"/>
      <c r="O141"/>
      <c r="P141"/>
      <c r="Q141"/>
    </row>
    <row r="142" spans="1:26" x14ac:dyDescent="0.3">
      <c r="B142"/>
      <c r="C142"/>
      <c r="D142"/>
      <c r="E142"/>
      <c r="F142"/>
      <c r="G142"/>
      <c r="H142"/>
      <c r="I142"/>
      <c r="J142"/>
      <c r="K142"/>
      <c r="L142"/>
      <c r="M142"/>
      <c r="N142"/>
      <c r="O142"/>
      <c r="P142"/>
      <c r="Q142"/>
    </row>
    <row r="143" spans="1:26" x14ac:dyDescent="0.3">
      <c r="B143"/>
      <c r="C143"/>
      <c r="D143"/>
      <c r="E143"/>
      <c r="F143"/>
      <c r="G143"/>
      <c r="H143"/>
      <c r="I143"/>
      <c r="J143"/>
      <c r="K143"/>
      <c r="L143"/>
      <c r="M143"/>
      <c r="N143"/>
      <c r="O143"/>
      <c r="P143"/>
      <c r="Q143"/>
    </row>
    <row r="144" spans="1:26" x14ac:dyDescent="0.3">
      <c r="B144"/>
      <c r="C144"/>
      <c r="D144"/>
      <c r="E144"/>
      <c r="F144"/>
      <c r="G144"/>
      <c r="H144"/>
      <c r="I144"/>
      <c r="J144"/>
      <c r="K144"/>
      <c r="L144"/>
      <c r="M144"/>
      <c r="N144"/>
      <c r="O144"/>
      <c r="P144"/>
      <c r="Q144"/>
    </row>
    <row r="145" spans="2:17" x14ac:dyDescent="0.3">
      <c r="B145"/>
      <c r="C145"/>
      <c r="D145"/>
      <c r="E145"/>
      <c r="F145"/>
      <c r="G145"/>
      <c r="H145"/>
      <c r="I145"/>
      <c r="J145"/>
      <c r="K145"/>
      <c r="L145"/>
      <c r="M145"/>
      <c r="N145"/>
      <c r="O145"/>
      <c r="P145"/>
      <c r="Q145"/>
    </row>
    <row r="146" spans="2:17" x14ac:dyDescent="0.3">
      <c r="B146"/>
      <c r="C146"/>
      <c r="D146"/>
      <c r="E146"/>
      <c r="F146"/>
      <c r="G146"/>
      <c r="H146"/>
      <c r="I146"/>
      <c r="J146"/>
      <c r="K146"/>
      <c r="L146"/>
      <c r="M146"/>
      <c r="N146"/>
      <c r="O146"/>
      <c r="P146"/>
      <c r="Q146"/>
    </row>
    <row r="147" spans="2:17" x14ac:dyDescent="0.3">
      <c r="B147"/>
      <c r="C147"/>
      <c r="D147"/>
      <c r="E147"/>
      <c r="F147"/>
      <c r="G147"/>
      <c r="H147"/>
      <c r="I147"/>
      <c r="J147"/>
      <c r="K147"/>
      <c r="L147"/>
      <c r="M147"/>
      <c r="N147"/>
      <c r="O147"/>
      <c r="P147"/>
      <c r="Q147"/>
    </row>
    <row r="148" spans="2:17" x14ac:dyDescent="0.3">
      <c r="B148"/>
      <c r="C148"/>
      <c r="D148"/>
      <c r="E148"/>
      <c r="F148"/>
      <c r="G148"/>
      <c r="H148"/>
      <c r="I148"/>
      <c r="J148"/>
      <c r="K148"/>
      <c r="L148"/>
      <c r="M148"/>
      <c r="N148"/>
      <c r="O148"/>
      <c r="P148"/>
      <c r="Q148"/>
    </row>
    <row r="149" spans="2:17" x14ac:dyDescent="0.3">
      <c r="B149"/>
      <c r="C149"/>
      <c r="D149"/>
      <c r="E149"/>
      <c r="F149"/>
      <c r="G149"/>
      <c r="H149"/>
      <c r="I149"/>
      <c r="J149"/>
      <c r="K149"/>
      <c r="L149"/>
      <c r="M149"/>
      <c r="N149"/>
      <c r="O149"/>
      <c r="P149"/>
      <c r="Q149"/>
    </row>
    <row r="150" spans="2:17" x14ac:dyDescent="0.3">
      <c r="B150"/>
      <c r="C150"/>
      <c r="D150"/>
      <c r="E150"/>
      <c r="F150"/>
      <c r="G150"/>
      <c r="H150"/>
      <c r="I150"/>
      <c r="J150"/>
      <c r="K150"/>
      <c r="L150"/>
      <c r="M150"/>
      <c r="N150"/>
      <c r="O150"/>
      <c r="P150"/>
      <c r="Q150"/>
    </row>
    <row r="151" spans="2:17" x14ac:dyDescent="0.3">
      <c r="B151"/>
      <c r="C151"/>
      <c r="D151"/>
      <c r="E151"/>
      <c r="F151"/>
      <c r="G151"/>
      <c r="H151"/>
      <c r="I151"/>
      <c r="J151"/>
      <c r="K151"/>
      <c r="L151"/>
      <c r="M151"/>
      <c r="N151"/>
      <c r="O151"/>
      <c r="P151"/>
      <c r="Q151"/>
    </row>
    <row r="152" spans="2:17" x14ac:dyDescent="0.3">
      <c r="B152"/>
      <c r="C152"/>
      <c r="D152"/>
      <c r="E152"/>
      <c r="F152"/>
      <c r="G152"/>
      <c r="H152"/>
      <c r="I152"/>
      <c r="J152"/>
      <c r="K152"/>
      <c r="L152"/>
      <c r="M152"/>
      <c r="N152"/>
      <c r="O152"/>
      <c r="P152"/>
      <c r="Q152"/>
    </row>
    <row r="153" spans="2:17" x14ac:dyDescent="0.3">
      <c r="B153"/>
      <c r="C153"/>
      <c r="D153"/>
      <c r="E153"/>
      <c r="F153"/>
      <c r="G153"/>
      <c r="H153"/>
      <c r="I153"/>
      <c r="J153"/>
      <c r="K153"/>
      <c r="L153"/>
      <c r="M153"/>
      <c r="N153"/>
      <c r="O153"/>
      <c r="P153"/>
      <c r="Q153"/>
    </row>
    <row r="154" spans="2:17" x14ac:dyDescent="0.3">
      <c r="B154"/>
      <c r="C154"/>
      <c r="D154"/>
      <c r="E154"/>
      <c r="F154"/>
      <c r="G154"/>
      <c r="H154"/>
      <c r="I154"/>
      <c r="J154"/>
      <c r="K154"/>
      <c r="L154"/>
      <c r="M154"/>
      <c r="N154"/>
      <c r="O154"/>
      <c r="P154"/>
      <c r="Q154"/>
    </row>
    <row r="155" spans="2:17" x14ac:dyDescent="0.3">
      <c r="B155"/>
      <c r="C155"/>
      <c r="D155"/>
      <c r="E155"/>
      <c r="F155"/>
      <c r="G155"/>
      <c r="H155"/>
      <c r="I155"/>
      <c r="J155"/>
      <c r="K155"/>
      <c r="L155"/>
      <c r="M155"/>
      <c r="N155"/>
      <c r="O155"/>
      <c r="P155"/>
      <c r="Q155"/>
    </row>
    <row r="156" spans="2:17" x14ac:dyDescent="0.3">
      <c r="B156"/>
      <c r="C156"/>
      <c r="D156"/>
      <c r="E156"/>
      <c r="F156"/>
      <c r="G156"/>
      <c r="H156"/>
      <c r="I156"/>
      <c r="J156"/>
      <c r="K156"/>
      <c r="L156"/>
      <c r="M156"/>
      <c r="N156"/>
      <c r="O156"/>
      <c r="P156"/>
      <c r="Q156"/>
    </row>
    <row r="157" spans="2:17" x14ac:dyDescent="0.3">
      <c r="B157"/>
      <c r="C157"/>
      <c r="D157"/>
      <c r="E157"/>
      <c r="F157"/>
      <c r="G157"/>
      <c r="H157"/>
      <c r="I157"/>
      <c r="J157"/>
      <c r="K157"/>
      <c r="L157"/>
      <c r="M157"/>
      <c r="N157"/>
      <c r="O157"/>
      <c r="P157"/>
      <c r="Q157"/>
    </row>
    <row r="158" spans="2:17" x14ac:dyDescent="0.3">
      <c r="B158"/>
      <c r="C158"/>
      <c r="D158"/>
      <c r="E158"/>
      <c r="F158"/>
      <c r="G158"/>
      <c r="H158"/>
      <c r="I158"/>
      <c r="J158"/>
      <c r="K158"/>
      <c r="L158"/>
      <c r="M158"/>
      <c r="N158"/>
      <c r="O158"/>
      <c r="P158"/>
      <c r="Q158"/>
    </row>
    <row r="159" spans="2:17" x14ac:dyDescent="0.3">
      <c r="B159"/>
      <c r="C159"/>
      <c r="D159"/>
      <c r="E159"/>
      <c r="F159"/>
      <c r="G159"/>
      <c r="H159"/>
      <c r="I159"/>
      <c r="J159"/>
      <c r="K159"/>
      <c r="L159"/>
      <c r="M159"/>
      <c r="N159"/>
      <c r="O159"/>
      <c r="P159"/>
      <c r="Q159"/>
    </row>
    <row r="160" spans="2:17" x14ac:dyDescent="0.3">
      <c r="B160"/>
      <c r="C160"/>
      <c r="D160"/>
      <c r="E160"/>
      <c r="F160"/>
      <c r="G160"/>
      <c r="H160"/>
      <c r="I160"/>
      <c r="J160"/>
      <c r="K160"/>
      <c r="L160"/>
      <c r="M160"/>
      <c r="N160"/>
      <c r="O160"/>
      <c r="P160"/>
      <c r="Q160"/>
    </row>
    <row r="161" spans="2:17" x14ac:dyDescent="0.3">
      <c r="B161"/>
      <c r="C161"/>
      <c r="D161"/>
      <c r="E161"/>
      <c r="F161"/>
      <c r="G161"/>
      <c r="H161"/>
      <c r="I161"/>
      <c r="J161"/>
      <c r="K161"/>
      <c r="L161"/>
      <c r="M161"/>
      <c r="N161"/>
      <c r="O161"/>
      <c r="P161"/>
      <c r="Q161"/>
    </row>
    <row r="162" spans="2:17" x14ac:dyDescent="0.3">
      <c r="B162"/>
      <c r="C162"/>
      <c r="D162"/>
      <c r="E162"/>
      <c r="F162"/>
      <c r="G162"/>
      <c r="H162"/>
      <c r="I162"/>
      <c r="J162"/>
      <c r="K162"/>
      <c r="L162"/>
      <c r="M162"/>
      <c r="N162"/>
      <c r="O162"/>
      <c r="P162"/>
      <c r="Q162"/>
    </row>
    <row r="163" spans="2:17" x14ac:dyDescent="0.3">
      <c r="B163"/>
      <c r="C163"/>
      <c r="D163"/>
      <c r="E163"/>
      <c r="F163"/>
      <c r="G163"/>
      <c r="H163"/>
      <c r="I163"/>
      <c r="J163"/>
      <c r="K163"/>
      <c r="L163"/>
      <c r="M163"/>
      <c r="N163"/>
      <c r="O163"/>
      <c r="P163"/>
      <c r="Q163"/>
    </row>
    <row r="164" spans="2:17" x14ac:dyDescent="0.3">
      <c r="B164"/>
      <c r="C164"/>
      <c r="D164"/>
      <c r="E164"/>
      <c r="F164"/>
      <c r="G164"/>
      <c r="H164"/>
      <c r="I164"/>
      <c r="J164"/>
      <c r="K164"/>
      <c r="L164"/>
      <c r="M164"/>
      <c r="N164"/>
      <c r="O164"/>
      <c r="P164"/>
      <c r="Q164"/>
    </row>
    <row r="165" spans="2:17" x14ac:dyDescent="0.3">
      <c r="B165"/>
      <c r="C165"/>
      <c r="D165"/>
      <c r="E165"/>
      <c r="F165"/>
      <c r="G165"/>
      <c r="H165"/>
      <c r="I165"/>
      <c r="J165"/>
      <c r="K165"/>
      <c r="L165"/>
      <c r="M165"/>
      <c r="N165"/>
      <c r="O165"/>
      <c r="P165"/>
      <c r="Q165"/>
    </row>
    <row r="166" spans="2:17" x14ac:dyDescent="0.3">
      <c r="B166"/>
      <c r="C166"/>
      <c r="D166"/>
      <c r="E166"/>
      <c r="F166"/>
      <c r="G166"/>
      <c r="H166"/>
      <c r="I166"/>
      <c r="J166"/>
      <c r="K166"/>
      <c r="L166"/>
      <c r="M166"/>
      <c r="N166"/>
      <c r="O166"/>
      <c r="P166"/>
      <c r="Q166"/>
    </row>
    <row r="167" spans="2:17" x14ac:dyDescent="0.3">
      <c r="B167"/>
      <c r="C167"/>
      <c r="D167"/>
      <c r="E167"/>
      <c r="F167"/>
      <c r="G167"/>
      <c r="H167"/>
      <c r="I167"/>
      <c r="J167"/>
      <c r="K167"/>
      <c r="L167"/>
      <c r="M167"/>
      <c r="N167"/>
      <c r="O167"/>
      <c r="P167"/>
      <c r="Q167"/>
    </row>
    <row r="168" spans="2:17" x14ac:dyDescent="0.3">
      <c r="B168"/>
      <c r="C168"/>
      <c r="D168"/>
      <c r="E168"/>
      <c r="F168"/>
      <c r="G168"/>
      <c r="H168"/>
      <c r="I168"/>
      <c r="J168"/>
      <c r="K168"/>
      <c r="L168"/>
      <c r="M168"/>
      <c r="N168"/>
      <c r="O168"/>
      <c r="P168"/>
      <c r="Q168"/>
    </row>
    <row r="169" spans="2:17" x14ac:dyDescent="0.3">
      <c r="B169"/>
      <c r="C169"/>
      <c r="D169"/>
      <c r="E169"/>
      <c r="F169"/>
      <c r="G169"/>
      <c r="H169"/>
      <c r="I169"/>
      <c r="J169"/>
      <c r="K169"/>
      <c r="L169"/>
      <c r="M169"/>
      <c r="N169"/>
      <c r="O169"/>
      <c r="P169"/>
      <c r="Q169"/>
    </row>
    <row r="170" spans="2:17" x14ac:dyDescent="0.3">
      <c r="B170"/>
      <c r="C170"/>
      <c r="D170"/>
      <c r="E170"/>
      <c r="F170"/>
      <c r="G170"/>
      <c r="H170"/>
      <c r="I170"/>
      <c r="J170"/>
      <c r="K170"/>
      <c r="L170"/>
      <c r="M170"/>
      <c r="N170"/>
      <c r="O170"/>
      <c r="P170"/>
      <c r="Q170"/>
    </row>
    <row r="171" spans="2:17" x14ac:dyDescent="0.3">
      <c r="B171"/>
      <c r="C171"/>
      <c r="D171"/>
      <c r="E171"/>
      <c r="F171"/>
      <c r="G171"/>
      <c r="H171"/>
      <c r="I171"/>
      <c r="J171"/>
      <c r="K171"/>
      <c r="L171"/>
      <c r="M171"/>
      <c r="N171"/>
      <c r="O171"/>
      <c r="P171"/>
      <c r="Q171"/>
    </row>
    <row r="172" spans="2:17" x14ac:dyDescent="0.3">
      <c r="B172"/>
      <c r="C172"/>
      <c r="D172"/>
      <c r="E172"/>
      <c r="F172"/>
      <c r="G172"/>
      <c r="H172"/>
      <c r="I172"/>
      <c r="J172"/>
      <c r="K172"/>
      <c r="L172"/>
      <c r="M172"/>
      <c r="N172"/>
      <c r="O172"/>
      <c r="P172"/>
      <c r="Q172"/>
    </row>
    <row r="173" spans="2:17" x14ac:dyDescent="0.3">
      <c r="B173"/>
      <c r="C173"/>
      <c r="D173"/>
      <c r="E173"/>
      <c r="F173"/>
      <c r="G173"/>
      <c r="H173"/>
      <c r="I173"/>
      <c r="J173"/>
      <c r="K173"/>
      <c r="L173"/>
      <c r="M173"/>
      <c r="N173"/>
      <c r="O173"/>
      <c r="P173"/>
      <c r="Q173"/>
    </row>
    <row r="174" spans="2:17" x14ac:dyDescent="0.3">
      <c r="B174"/>
      <c r="C174"/>
      <c r="D174"/>
      <c r="E174"/>
      <c r="F174"/>
      <c r="G174"/>
      <c r="H174"/>
      <c r="I174"/>
      <c r="J174"/>
      <c r="K174"/>
      <c r="L174"/>
      <c r="M174"/>
      <c r="N174"/>
      <c r="O174"/>
      <c r="P174"/>
      <c r="Q174"/>
    </row>
    <row r="175" spans="2:17" x14ac:dyDescent="0.3">
      <c r="B175"/>
      <c r="C175"/>
      <c r="D175"/>
      <c r="E175"/>
      <c r="F175"/>
      <c r="G175"/>
      <c r="H175"/>
      <c r="I175"/>
      <c r="J175"/>
      <c r="K175"/>
      <c r="L175"/>
      <c r="M175"/>
      <c r="N175"/>
      <c r="O175"/>
      <c r="P175"/>
      <c r="Q175"/>
    </row>
    <row r="176" spans="2:17" x14ac:dyDescent="0.3">
      <c r="B176"/>
      <c r="C176"/>
      <c r="D176"/>
      <c r="E176"/>
      <c r="F176"/>
      <c r="G176"/>
      <c r="H176"/>
      <c r="I176"/>
      <c r="J176"/>
      <c r="K176"/>
      <c r="L176"/>
      <c r="M176"/>
      <c r="N176"/>
      <c r="O176"/>
      <c r="P176"/>
      <c r="Q176"/>
    </row>
    <row r="177" spans="2:17" x14ac:dyDescent="0.3">
      <c r="B177"/>
      <c r="C177"/>
      <c r="D177"/>
      <c r="E177"/>
      <c r="F177"/>
      <c r="G177"/>
      <c r="H177"/>
      <c r="I177"/>
      <c r="J177"/>
      <c r="K177"/>
      <c r="L177"/>
      <c r="M177"/>
      <c r="N177"/>
      <c r="O177"/>
      <c r="P177"/>
      <c r="Q177"/>
    </row>
    <row r="178" spans="2:17" x14ac:dyDescent="0.3">
      <c r="B178"/>
      <c r="C178"/>
      <c r="D178"/>
      <c r="E178"/>
      <c r="F178"/>
      <c r="G178"/>
      <c r="H178"/>
      <c r="I178"/>
      <c r="J178"/>
      <c r="K178"/>
      <c r="L178"/>
      <c r="M178"/>
      <c r="N178"/>
      <c r="O178"/>
      <c r="P178"/>
      <c r="Q178"/>
    </row>
    <row r="179" spans="2:17" x14ac:dyDescent="0.3">
      <c r="B179"/>
      <c r="C179"/>
      <c r="D179"/>
      <c r="E179"/>
      <c r="F179"/>
      <c r="G179"/>
      <c r="H179"/>
      <c r="I179"/>
      <c r="J179"/>
      <c r="K179"/>
      <c r="L179"/>
      <c r="M179"/>
      <c r="N179"/>
      <c r="O179"/>
      <c r="P179"/>
      <c r="Q179"/>
    </row>
  </sheetData>
  <mergeCells count="4">
    <mergeCell ref="B1:H1"/>
    <mergeCell ref="I1:N1"/>
    <mergeCell ref="O1:Q1"/>
    <mergeCell ref="S1:S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BE4F-8497-ED47-BF3B-877848745045}">
  <dimension ref="A1:Y129"/>
  <sheetViews>
    <sheetView zoomScale="75" workbookViewId="0">
      <selection activeCell="X5" sqref="X5:X129"/>
    </sheetView>
  </sheetViews>
  <sheetFormatPr defaultColWidth="10.796875" defaultRowHeight="15.6" x14ac:dyDescent="0.3"/>
  <cols>
    <col min="1" max="1" width="13" style="2" bestFit="1" customWidth="1"/>
    <col min="2" max="18" width="10.796875" style="2"/>
    <col min="19" max="19" width="30.296875" style="2" customWidth="1"/>
    <col min="20" max="20" width="20.296875" style="2" bestFit="1" customWidth="1"/>
    <col min="21" max="23" width="10.796875" style="2"/>
    <col min="24" max="24" width="11.69921875" style="2" bestFit="1" customWidth="1"/>
    <col min="25" max="16384" width="10.796875" style="2"/>
  </cols>
  <sheetData>
    <row r="1" spans="1:25" x14ac:dyDescent="0.3">
      <c r="B1" s="31" t="s">
        <v>16</v>
      </c>
      <c r="C1" s="31"/>
      <c r="D1" s="31"/>
      <c r="E1" s="31"/>
      <c r="F1" s="31"/>
      <c r="G1" s="31"/>
      <c r="H1" s="31"/>
      <c r="I1" s="31" t="s">
        <v>17</v>
      </c>
      <c r="J1" s="31"/>
      <c r="K1" s="31"/>
      <c r="L1" s="31"/>
      <c r="M1" s="31"/>
      <c r="N1" s="31"/>
      <c r="O1" s="31" t="s">
        <v>18</v>
      </c>
      <c r="P1" s="31"/>
      <c r="Q1" s="31"/>
      <c r="R1" s="2" t="s">
        <v>21</v>
      </c>
      <c r="S1" s="30" t="s">
        <v>34</v>
      </c>
      <c r="T1" s="1"/>
    </row>
    <row r="2" spans="1:25" x14ac:dyDescent="0.3">
      <c r="A2" s="2" t="s">
        <v>19</v>
      </c>
      <c r="B2" s="3">
        <v>45736780000000</v>
      </c>
      <c r="C2" s="3">
        <v>18702910000000</v>
      </c>
      <c r="D2" s="3">
        <v>47524750000000</v>
      </c>
      <c r="E2" s="3">
        <v>134171300000000</v>
      </c>
      <c r="F2" s="3">
        <v>56157330000000</v>
      </c>
      <c r="G2" s="3">
        <v>129152700000000</v>
      </c>
      <c r="H2" s="3">
        <v>70686060000000</v>
      </c>
      <c r="I2" s="3">
        <v>131276500000000</v>
      </c>
      <c r="J2" s="3">
        <v>423253600000000</v>
      </c>
      <c r="K2" s="3">
        <v>680367800000000</v>
      </c>
      <c r="L2" s="3">
        <v>554497600000000</v>
      </c>
      <c r="M2" s="3">
        <v>451295900000000</v>
      </c>
      <c r="N2" s="3">
        <v>160663000000000</v>
      </c>
      <c r="O2" s="3">
        <v>420030100000000</v>
      </c>
      <c r="P2" s="3">
        <v>355771100000000</v>
      </c>
      <c r="Q2" s="3">
        <v>643761000000000</v>
      </c>
      <c r="R2" s="8">
        <f>SUM(B2:Q2)</f>
        <v>4323048430000000</v>
      </c>
      <c r="S2" s="30"/>
      <c r="T2" s="1"/>
      <c r="X2" s="2" t="s">
        <v>23</v>
      </c>
    </row>
    <row r="3" spans="1:25" x14ac:dyDescent="0.3">
      <c r="A3" s="2" t="s">
        <v>44</v>
      </c>
      <c r="B3" s="6">
        <f>B2/$R$2</f>
        <v>1.0579751936760052E-2</v>
      </c>
      <c r="C3" s="6">
        <f t="shared" ref="C3:Q3" si="0">C2/$R$2</f>
        <v>4.3263244219542548E-3</v>
      </c>
      <c r="D3" s="6">
        <f t="shared" si="0"/>
        <v>1.0993342029249484E-2</v>
      </c>
      <c r="E3" s="6">
        <f t="shared" si="0"/>
        <v>3.1036270394037661E-2</v>
      </c>
      <c r="F3" s="6">
        <f t="shared" si="0"/>
        <v>1.299021533284095E-2</v>
      </c>
      <c r="G3" s="6">
        <f t="shared" si="0"/>
        <v>2.9875376621677125E-2</v>
      </c>
      <c r="H3" s="6">
        <f t="shared" si="0"/>
        <v>1.635097573958939E-2</v>
      </c>
      <c r="I3" s="6">
        <f t="shared" si="0"/>
        <v>3.0366650322258822E-2</v>
      </c>
      <c r="J3" s="6">
        <f t="shared" si="0"/>
        <v>9.7906282303665979E-2</v>
      </c>
      <c r="K3" s="6">
        <f t="shared" si="0"/>
        <v>0.15738148924692941</v>
      </c>
      <c r="L3" s="6">
        <f t="shared" si="0"/>
        <v>0.12826541478278095</v>
      </c>
      <c r="M3" s="6">
        <f t="shared" si="0"/>
        <v>0.10439297808190412</v>
      </c>
      <c r="N3" s="6">
        <f t="shared" si="0"/>
        <v>3.7164284092926526E-2</v>
      </c>
      <c r="O3" s="6">
        <f t="shared" si="0"/>
        <v>9.7160627922921516E-2</v>
      </c>
      <c r="P3" s="6">
        <f t="shared" si="0"/>
        <v>8.2296348458904489E-2</v>
      </c>
      <c r="Q3" s="6">
        <f t="shared" si="0"/>
        <v>0.14891366831159927</v>
      </c>
      <c r="R3" s="8"/>
      <c r="S3" s="30"/>
      <c r="T3" s="1"/>
    </row>
    <row r="4" spans="1:25" x14ac:dyDescent="0.3">
      <c r="B4" s="2" t="s">
        <v>0</v>
      </c>
      <c r="C4" s="2" t="s">
        <v>1</v>
      </c>
      <c r="D4" s="2" t="s">
        <v>2</v>
      </c>
      <c r="E4" s="2" t="s">
        <v>3</v>
      </c>
      <c r="F4" s="2" t="s">
        <v>4</v>
      </c>
      <c r="G4" s="2" t="s">
        <v>5</v>
      </c>
      <c r="H4" s="2" t="s">
        <v>6</v>
      </c>
      <c r="I4" s="2" t="s">
        <v>7</v>
      </c>
      <c r="J4" s="2" t="s">
        <v>8</v>
      </c>
      <c r="K4" s="2" t="s">
        <v>9</v>
      </c>
      <c r="L4" s="2" t="s">
        <v>10</v>
      </c>
      <c r="M4" s="2" t="s">
        <v>11</v>
      </c>
      <c r="N4" s="2" t="s">
        <v>12</v>
      </c>
      <c r="O4" s="2" t="s">
        <v>13</v>
      </c>
      <c r="P4" s="2" t="s">
        <v>14</v>
      </c>
      <c r="Q4" s="2" t="s">
        <v>15</v>
      </c>
      <c r="S4" s="30"/>
      <c r="T4" s="2" t="s">
        <v>20</v>
      </c>
      <c r="U4" s="2" t="s">
        <v>47</v>
      </c>
      <c r="X4" s="2" t="s">
        <v>46</v>
      </c>
      <c r="Y4" s="2" t="s">
        <v>28</v>
      </c>
    </row>
    <row r="5" spans="1:25" x14ac:dyDescent="0.3">
      <c r="A5" s="2">
        <v>1901</v>
      </c>
      <c r="B5">
        <v>7.4026702343397002</v>
      </c>
      <c r="C5">
        <v>7.5398840377796201</v>
      </c>
      <c r="D5">
        <v>7.7694171652402</v>
      </c>
      <c r="E5">
        <v>7.2855577524394199</v>
      </c>
      <c r="F5">
        <v>6.1111107444110004</v>
      </c>
      <c r="G5">
        <v>5.2301047984867903</v>
      </c>
      <c r="H5">
        <v>4.1384479708050996</v>
      </c>
      <c r="I5">
        <v>4.9580438708605801</v>
      </c>
      <c r="J5">
        <v>2.8086564656806301</v>
      </c>
      <c r="K5">
        <v>5.7436770158271298</v>
      </c>
      <c r="L5">
        <v>5.2982151446277204</v>
      </c>
      <c r="M5">
        <v>1.5799162410709999</v>
      </c>
      <c r="N5">
        <v>6.58926222438682</v>
      </c>
      <c r="O5">
        <v>3.2071235908220901</v>
      </c>
      <c r="P5">
        <v>5.7688320156646098</v>
      </c>
      <c r="Q5">
        <v>5.0618602458744801</v>
      </c>
      <c r="S5" s="5">
        <f>AVERAGE(B5:Q5)</f>
        <v>5.4057987198948059</v>
      </c>
      <c r="T5" s="5">
        <f>(B5*$B$3)+(C5*$C$3)+(D5*$D$3)+(E5*$E$3)+(F5*$F$3)+(G5*$G$3)+(H5*$H$3)+(I5*$I$3)+(J5*$J$3)+(K5*$K$3)+(L5*$L$3)+(M5*$M$3)+(N5*$N$3)+(O5*$O$3)+(P5*$P$3)+(Q5*$Q$3)</f>
        <v>4.6847984644622596</v>
      </c>
      <c r="U5" s="7">
        <f>(Y5-32)*(5/9)</f>
        <v>6.3968745934287226</v>
      </c>
      <c r="V5" s="9"/>
      <c r="W5" s="4"/>
      <c r="X5" s="2">
        <f t="shared" ref="X5:X36" si="1">(T5*(9/5))+32</f>
        <v>40.432637236032065</v>
      </c>
      <c r="Y5" s="7">
        <v>43.5143742681717</v>
      </c>
    </row>
    <row r="6" spans="1:25" x14ac:dyDescent="0.3">
      <c r="A6" s="2">
        <v>1902</v>
      </c>
      <c r="B6">
        <v>6.9315027472091</v>
      </c>
      <c r="C6">
        <v>7.0285900132296799</v>
      </c>
      <c r="D6">
        <v>7.2707554046421796</v>
      </c>
      <c r="E6">
        <v>6.7218716128231701</v>
      </c>
      <c r="F6">
        <v>5.52742772886198</v>
      </c>
      <c r="G6">
        <v>4.60261254833169</v>
      </c>
      <c r="H6">
        <v>3.6324739281445302</v>
      </c>
      <c r="I6">
        <v>4.8111519339966504</v>
      </c>
      <c r="J6">
        <v>2.5846353201016998</v>
      </c>
      <c r="K6">
        <v>5.4555146896675799</v>
      </c>
      <c r="L6">
        <v>4.9889576448153097</v>
      </c>
      <c r="M6">
        <v>1.3863249677501299</v>
      </c>
      <c r="N6">
        <v>6.2311273979814104</v>
      </c>
      <c r="O6">
        <v>2.88495066361885</v>
      </c>
      <c r="P6">
        <v>5.4887084464504303</v>
      </c>
      <c r="Q6">
        <v>4.9094231540209599</v>
      </c>
      <c r="S6" s="5">
        <f t="shared" ref="S6:S69" si="2">AVERAGE(B6:Q6)</f>
        <v>5.0285017626028337</v>
      </c>
      <c r="T6" s="5">
        <f t="shared" ref="T6:T69" si="3">(B6*$B$3)+(C6*$C$3)+(D6*$D$3)+(E6*$E$3)+(F6*$F$3)+(G6*$G$3)+(H6*$H$3)+(I6*$I$3)+(J6*$J$3)+(K6*$K$3)+(L6*$L$3)+(M6*$M$3)+(N6*$N$3)+(O6*$O$3)+(P6*$P$3)+(Q6*$Q$3)</f>
        <v>4.3980358436930507</v>
      </c>
      <c r="U6" s="7">
        <f t="shared" ref="U6:U69" si="4">(Y6-32)*(5/9)</f>
        <v>5.8864896725803897</v>
      </c>
      <c r="V6" s="9"/>
      <c r="W6" s="5"/>
      <c r="X6" s="2">
        <f t="shared" si="1"/>
        <v>39.916464518647494</v>
      </c>
      <c r="Y6" s="7">
        <v>42.595681410644701</v>
      </c>
    </row>
    <row r="7" spans="1:25" x14ac:dyDescent="0.3">
      <c r="A7" s="2">
        <v>1903</v>
      </c>
      <c r="B7">
        <v>5.8378532630123496</v>
      </c>
      <c r="C7">
        <v>5.89616739113037</v>
      </c>
      <c r="D7">
        <v>6.1417480744727699</v>
      </c>
      <c r="E7">
        <v>5.6417306210896703</v>
      </c>
      <c r="F7">
        <v>4.5501312948253103</v>
      </c>
      <c r="G7">
        <v>3.6458004716324499</v>
      </c>
      <c r="H7">
        <v>2.5565581827947499</v>
      </c>
      <c r="I7">
        <v>3.2267790983801001</v>
      </c>
      <c r="J7">
        <v>0.70149528131093097</v>
      </c>
      <c r="K7">
        <v>4.1981231614334904</v>
      </c>
      <c r="L7">
        <v>3.7131885848633202</v>
      </c>
      <c r="M7">
        <v>0.144770735257292</v>
      </c>
      <c r="N7">
        <v>5.0730501621757504</v>
      </c>
      <c r="O7">
        <v>1.7273831516096001</v>
      </c>
      <c r="P7">
        <v>4.1968027261838499</v>
      </c>
      <c r="Q7">
        <v>3.6499419552006098</v>
      </c>
      <c r="S7" s="5">
        <f t="shared" si="2"/>
        <v>3.8063452597107887</v>
      </c>
      <c r="T7" s="5">
        <f t="shared" si="3"/>
        <v>3.1037560142852878</v>
      </c>
      <c r="U7" s="7">
        <f t="shared" si="4"/>
        <v>4.8228497843699438</v>
      </c>
      <c r="V7" s="9"/>
      <c r="W7" s="5"/>
      <c r="X7" s="2">
        <f t="shared" si="1"/>
        <v>37.586760825713519</v>
      </c>
      <c r="Y7" s="7">
        <v>40.681129611865899</v>
      </c>
    </row>
    <row r="8" spans="1:25" x14ac:dyDescent="0.3">
      <c r="A8" s="2">
        <v>1904</v>
      </c>
      <c r="B8">
        <v>6.4225070621472202</v>
      </c>
      <c r="C8">
        <v>6.48940982763233</v>
      </c>
      <c r="D8">
        <v>6.6868640185216703</v>
      </c>
      <c r="E8">
        <v>6.2318993943636496</v>
      </c>
      <c r="F8">
        <v>5.1615096890861203</v>
      </c>
      <c r="G8">
        <v>4.2820175770527698</v>
      </c>
      <c r="H8">
        <v>3.1191088352046998</v>
      </c>
      <c r="I8">
        <v>4.3115390005007503</v>
      </c>
      <c r="J8">
        <v>1.9258419683233601</v>
      </c>
      <c r="K8">
        <v>4.8275841213966304</v>
      </c>
      <c r="L8">
        <v>4.4062799710393596</v>
      </c>
      <c r="M8">
        <v>0.97575537360634601</v>
      </c>
      <c r="N8">
        <v>5.60456235503238</v>
      </c>
      <c r="O8">
        <v>2.5260544318318998</v>
      </c>
      <c r="P8">
        <v>4.7544716433749201</v>
      </c>
      <c r="Q8">
        <v>4.4527682409586102</v>
      </c>
      <c r="S8" s="5">
        <f t="shared" si="2"/>
        <v>4.5111358443795444</v>
      </c>
      <c r="T8" s="5">
        <f t="shared" si="3"/>
        <v>3.863289235597652</v>
      </c>
      <c r="U8" s="7">
        <f t="shared" si="4"/>
        <v>5.5264014679353348</v>
      </c>
      <c r="V8" s="9"/>
      <c r="W8" s="5"/>
      <c r="X8" s="2">
        <f t="shared" si="1"/>
        <v>38.953920624075771</v>
      </c>
      <c r="Y8" s="7">
        <v>41.947522642283602</v>
      </c>
    </row>
    <row r="9" spans="1:25" x14ac:dyDescent="0.3">
      <c r="A9" s="2">
        <v>1905</v>
      </c>
      <c r="B9">
        <v>7.0063861791401703</v>
      </c>
      <c r="C9">
        <v>7.0903233178674396</v>
      </c>
      <c r="D9">
        <v>7.2651616364309204</v>
      </c>
      <c r="E9">
        <v>6.70731798720686</v>
      </c>
      <c r="F9">
        <v>5.5771161899174704</v>
      </c>
      <c r="G9">
        <v>4.6326316894312702</v>
      </c>
      <c r="H9">
        <v>3.65331756464423</v>
      </c>
      <c r="I9">
        <v>5.0436205294034204</v>
      </c>
      <c r="J9">
        <v>2.66278435400088</v>
      </c>
      <c r="K9">
        <v>5.8051256058967304</v>
      </c>
      <c r="L9">
        <v>5.3887794550150998</v>
      </c>
      <c r="M9">
        <v>1.58907087669797</v>
      </c>
      <c r="N9">
        <v>6.5061011614864803</v>
      </c>
      <c r="O9">
        <v>3.0421200814312499</v>
      </c>
      <c r="P9">
        <v>5.6747601656064601</v>
      </c>
      <c r="Q9">
        <v>5.1041644316830004</v>
      </c>
      <c r="S9" s="5">
        <f t="shared" si="2"/>
        <v>5.1717988266162278</v>
      </c>
      <c r="T9" s="5">
        <f t="shared" si="3"/>
        <v>4.6124474140713767</v>
      </c>
      <c r="U9" s="7">
        <f t="shared" si="4"/>
        <v>5.4352481288017218</v>
      </c>
      <c r="V9" s="9"/>
      <c r="W9" s="5"/>
      <c r="X9" s="2">
        <f t="shared" si="1"/>
        <v>40.302405345328481</v>
      </c>
      <c r="Y9" s="7">
        <v>41.783446631843098</v>
      </c>
    </row>
    <row r="10" spans="1:25" x14ac:dyDescent="0.3">
      <c r="A10" s="2">
        <v>1906</v>
      </c>
      <c r="B10">
        <v>5.4606008414536298</v>
      </c>
      <c r="C10">
        <v>5.5721954477976396</v>
      </c>
      <c r="D10">
        <v>5.79493003583526</v>
      </c>
      <c r="E10">
        <v>5.2784786683239302</v>
      </c>
      <c r="F10">
        <v>4.1016161122958996</v>
      </c>
      <c r="G10">
        <v>3.2040998837719199</v>
      </c>
      <c r="H10">
        <v>2.2000338969165298</v>
      </c>
      <c r="I10">
        <v>3.39160468708979</v>
      </c>
      <c r="J10">
        <v>1.2443986147233901</v>
      </c>
      <c r="K10">
        <v>3.94645984107501</v>
      </c>
      <c r="L10">
        <v>3.4587077856063799</v>
      </c>
      <c r="M10">
        <v>0.20535990987738501</v>
      </c>
      <c r="N10">
        <v>4.7326635168023303</v>
      </c>
      <c r="O10">
        <v>1.6847629472001</v>
      </c>
      <c r="P10">
        <v>4.0365064170670797</v>
      </c>
      <c r="Q10">
        <v>3.7625294027263201</v>
      </c>
      <c r="S10" s="5">
        <f t="shared" si="2"/>
        <v>3.6296842505351625</v>
      </c>
      <c r="T10" s="5">
        <f t="shared" si="3"/>
        <v>3.037443170296839</v>
      </c>
      <c r="U10" s="7">
        <f t="shared" si="4"/>
        <v>4.0436531169093906</v>
      </c>
      <c r="V10" s="9"/>
      <c r="W10" s="5"/>
      <c r="X10" s="2">
        <f t="shared" si="1"/>
        <v>37.467397706534314</v>
      </c>
      <c r="Y10" s="7">
        <v>39.278575610436903</v>
      </c>
    </row>
    <row r="11" spans="1:25" x14ac:dyDescent="0.3">
      <c r="A11" s="2">
        <v>1907</v>
      </c>
      <c r="B11">
        <v>6.5351188890329803</v>
      </c>
      <c r="C11">
        <v>6.6325146099475996</v>
      </c>
      <c r="D11">
        <v>6.8906731820269798</v>
      </c>
      <c r="E11">
        <v>6.3446232868383996</v>
      </c>
      <c r="F11">
        <v>5.0614826613909596</v>
      </c>
      <c r="G11">
        <v>4.1523730298835897</v>
      </c>
      <c r="H11">
        <v>3.28326481629724</v>
      </c>
      <c r="I11">
        <v>4.4962557277450799</v>
      </c>
      <c r="J11">
        <v>2.3410113909473198</v>
      </c>
      <c r="K11">
        <v>4.9449628544180397</v>
      </c>
      <c r="L11">
        <v>4.4795901354045098</v>
      </c>
      <c r="M11">
        <v>1.16958503363884</v>
      </c>
      <c r="N11">
        <v>5.6720330014620703</v>
      </c>
      <c r="O11">
        <v>2.5969205794269099</v>
      </c>
      <c r="P11">
        <v>5.0757690240258997</v>
      </c>
      <c r="Q11">
        <v>4.7210677125682601</v>
      </c>
      <c r="S11" s="5">
        <f t="shared" si="2"/>
        <v>4.6498278709409169</v>
      </c>
      <c r="T11" s="5">
        <f t="shared" si="3"/>
        <v>4.0385061239691478</v>
      </c>
      <c r="U11" s="7">
        <f t="shared" si="4"/>
        <v>5.0637552621361657</v>
      </c>
      <c r="V11" s="9"/>
      <c r="W11" s="5"/>
      <c r="X11" s="2">
        <f t="shared" si="1"/>
        <v>39.269311023144468</v>
      </c>
      <c r="Y11" s="7">
        <v>41.114759471845097</v>
      </c>
    </row>
    <row r="12" spans="1:25" x14ac:dyDescent="0.3">
      <c r="A12" s="2">
        <v>1908</v>
      </c>
      <c r="B12">
        <v>6.1102590614655004</v>
      </c>
      <c r="C12">
        <v>6.2040368784320803</v>
      </c>
      <c r="D12">
        <v>6.4485185097475499</v>
      </c>
      <c r="E12">
        <v>5.8930410361680803</v>
      </c>
      <c r="F12">
        <v>4.6755446045776496</v>
      </c>
      <c r="G12">
        <v>3.7455087362742798</v>
      </c>
      <c r="H12">
        <v>2.83622241997328</v>
      </c>
      <c r="I12">
        <v>3.92945886342252</v>
      </c>
      <c r="J12">
        <v>2.0234629365264398</v>
      </c>
      <c r="K12">
        <v>4.7286111672149298</v>
      </c>
      <c r="L12">
        <v>4.2889211071970701</v>
      </c>
      <c r="M12">
        <v>0.70610430396971202</v>
      </c>
      <c r="N12">
        <v>5.5211424008419003</v>
      </c>
      <c r="O12">
        <v>2.1374154918180799</v>
      </c>
      <c r="P12">
        <v>4.7574951397102403</v>
      </c>
      <c r="Q12">
        <v>4.2117595692149896</v>
      </c>
      <c r="S12" s="5">
        <f t="shared" si="2"/>
        <v>4.2635938891596439</v>
      </c>
      <c r="T12" s="5">
        <f t="shared" si="3"/>
        <v>3.6813219668934947</v>
      </c>
      <c r="U12" s="7">
        <f t="shared" si="4"/>
        <v>4.6002039412698892</v>
      </c>
      <c r="V12" s="9"/>
      <c r="W12" s="5"/>
      <c r="X12" s="2">
        <f t="shared" si="1"/>
        <v>38.626379540408294</v>
      </c>
      <c r="Y12" s="7">
        <v>40.280367094285801</v>
      </c>
    </row>
    <row r="13" spans="1:25" x14ac:dyDescent="0.3">
      <c r="A13" s="2">
        <v>1909</v>
      </c>
      <c r="B13">
        <v>5.6396053945364999</v>
      </c>
      <c r="C13">
        <v>5.7368372733258202</v>
      </c>
      <c r="D13">
        <v>6.0327233101713302</v>
      </c>
      <c r="E13">
        <v>5.4857421670874498</v>
      </c>
      <c r="F13">
        <v>4.1012248101299802</v>
      </c>
      <c r="G13">
        <v>3.1950451297302802</v>
      </c>
      <c r="H13">
        <v>2.3528660294127799</v>
      </c>
      <c r="I13">
        <v>3.8062461640736802</v>
      </c>
      <c r="J13">
        <v>1.92414869217023</v>
      </c>
      <c r="K13">
        <v>4.4368815363270002</v>
      </c>
      <c r="L13">
        <v>4.0714552480880499</v>
      </c>
      <c r="M13">
        <v>0.29620817883373901</v>
      </c>
      <c r="N13">
        <v>5.1736291628994397</v>
      </c>
      <c r="O13">
        <v>1.6439902106376501</v>
      </c>
      <c r="P13">
        <v>4.5077798928300004</v>
      </c>
      <c r="Q13">
        <v>3.83626916277899</v>
      </c>
      <c r="S13" s="5">
        <f t="shared" si="2"/>
        <v>3.8900407726895567</v>
      </c>
      <c r="T13" s="5">
        <f t="shared" si="3"/>
        <v>3.3579156874762526</v>
      </c>
      <c r="U13" s="7">
        <f t="shared" si="4"/>
        <v>4.1451264164350556</v>
      </c>
      <c r="V13" s="9"/>
      <c r="W13" s="5"/>
      <c r="X13" s="2">
        <f t="shared" si="1"/>
        <v>38.044248237457253</v>
      </c>
      <c r="Y13" s="7">
        <v>39.4612275495831</v>
      </c>
    </row>
    <row r="14" spans="1:25" x14ac:dyDescent="0.3">
      <c r="A14" s="2">
        <v>1910</v>
      </c>
      <c r="B14">
        <v>6.7770032020464299</v>
      </c>
      <c r="C14">
        <v>6.8922145967614199</v>
      </c>
      <c r="D14">
        <v>7.1382098472281701</v>
      </c>
      <c r="E14">
        <v>6.5973641539273196</v>
      </c>
      <c r="F14">
        <v>5.3552852258290304</v>
      </c>
      <c r="G14">
        <v>4.4439233079348499</v>
      </c>
      <c r="H14">
        <v>3.51374457078437</v>
      </c>
      <c r="I14">
        <v>4.7543826924611396</v>
      </c>
      <c r="J14">
        <v>2.58251283642364</v>
      </c>
      <c r="K14">
        <v>5.1838375615747001</v>
      </c>
      <c r="L14">
        <v>4.7938667349619397</v>
      </c>
      <c r="M14">
        <v>1.4967492516726699</v>
      </c>
      <c r="N14">
        <v>5.9616739671524304</v>
      </c>
      <c r="O14">
        <v>2.8798137160196702</v>
      </c>
      <c r="P14">
        <v>5.3619751598737002</v>
      </c>
      <c r="Q14">
        <v>4.9711516096983903</v>
      </c>
      <c r="S14" s="5">
        <f t="shared" si="2"/>
        <v>4.9189817771468665</v>
      </c>
      <c r="T14" s="5">
        <f t="shared" si="3"/>
        <v>4.311636324207031</v>
      </c>
      <c r="U14" s="7">
        <f t="shared" si="4"/>
        <v>5.4122919133329441</v>
      </c>
      <c r="V14" s="9"/>
      <c r="W14" s="5"/>
      <c r="X14" s="2">
        <f t="shared" si="1"/>
        <v>39.760945383572654</v>
      </c>
      <c r="Y14" s="7">
        <v>41.742125443999299</v>
      </c>
    </row>
    <row r="15" spans="1:25" x14ac:dyDescent="0.3">
      <c r="A15" s="2">
        <v>1911</v>
      </c>
      <c r="B15">
        <v>6.76643295582027</v>
      </c>
      <c r="C15">
        <v>6.8682249985329102</v>
      </c>
      <c r="D15">
        <v>7.1229678472427498</v>
      </c>
      <c r="E15">
        <v>6.6359482774995797</v>
      </c>
      <c r="F15">
        <v>5.4383047053258702</v>
      </c>
      <c r="G15">
        <v>4.6019394716171398</v>
      </c>
      <c r="H15">
        <v>3.7143539030257999</v>
      </c>
      <c r="I15">
        <v>4.62598667144775</v>
      </c>
      <c r="J15">
        <v>2.27926448844884</v>
      </c>
      <c r="K15">
        <v>5.1830238819530603</v>
      </c>
      <c r="L15">
        <v>4.7150396007789297</v>
      </c>
      <c r="M15">
        <v>1.52888268575276</v>
      </c>
      <c r="N15">
        <v>5.9508191046649497</v>
      </c>
      <c r="O15">
        <v>3.0171942303442001</v>
      </c>
      <c r="P15">
        <v>5.3910779262242299</v>
      </c>
      <c r="Q15">
        <v>5.0364135473456297</v>
      </c>
      <c r="S15" s="5">
        <f t="shared" si="2"/>
        <v>4.9297421435015423</v>
      </c>
      <c r="T15" s="5">
        <f t="shared" si="3"/>
        <v>4.3061148313036304</v>
      </c>
      <c r="U15" s="7">
        <f t="shared" si="4"/>
        <v>5.3013646584872216</v>
      </c>
      <c r="V15" s="9"/>
      <c r="W15" s="5"/>
      <c r="X15" s="2">
        <f t="shared" si="1"/>
        <v>39.751006696346536</v>
      </c>
      <c r="Y15" s="7">
        <v>41.542456385276999</v>
      </c>
    </row>
    <row r="16" spans="1:25" x14ac:dyDescent="0.3">
      <c r="A16" s="2">
        <v>1912</v>
      </c>
      <c r="B16">
        <v>5.2149438460667898</v>
      </c>
      <c r="C16">
        <v>5.3393291204027804</v>
      </c>
      <c r="D16">
        <v>5.5652436585537099</v>
      </c>
      <c r="E16">
        <v>4.9138204686628697</v>
      </c>
      <c r="F16">
        <v>3.6244154735341101</v>
      </c>
      <c r="G16">
        <v>2.6198373954804199</v>
      </c>
      <c r="H16">
        <v>1.7339520975540199</v>
      </c>
      <c r="I16">
        <v>2.8872961437767302</v>
      </c>
      <c r="J16">
        <v>0.74383660418088304</v>
      </c>
      <c r="K16">
        <v>3.6988023337119298</v>
      </c>
      <c r="L16">
        <v>3.2807535753875499</v>
      </c>
      <c r="M16">
        <v>-0.48498181925445299</v>
      </c>
      <c r="N16">
        <v>4.4998452920731298</v>
      </c>
      <c r="O16">
        <v>0.89481699662130398</v>
      </c>
      <c r="P16">
        <v>3.6744895053040101</v>
      </c>
      <c r="Q16">
        <v>3.09097919372913</v>
      </c>
      <c r="S16" s="5">
        <f t="shared" si="2"/>
        <v>3.2060862428615575</v>
      </c>
      <c r="T16" s="5">
        <f t="shared" si="3"/>
        <v>2.5753281045764824</v>
      </c>
      <c r="U16" s="7">
        <f t="shared" si="4"/>
        <v>3.6235816159121685</v>
      </c>
      <c r="V16" s="9"/>
      <c r="W16" s="5"/>
      <c r="X16" s="2">
        <f t="shared" si="1"/>
        <v>36.635590588237669</v>
      </c>
      <c r="Y16" s="7">
        <v>38.522446908641903</v>
      </c>
    </row>
    <row r="17" spans="1:25" x14ac:dyDescent="0.3">
      <c r="A17" s="2">
        <v>1913</v>
      </c>
      <c r="B17">
        <v>5.7909708349672098</v>
      </c>
      <c r="C17">
        <v>5.8568410857083002</v>
      </c>
      <c r="D17">
        <v>6.0507772050491804</v>
      </c>
      <c r="E17">
        <v>5.4388869370499702</v>
      </c>
      <c r="F17">
        <v>4.1203881587322897</v>
      </c>
      <c r="G17">
        <v>3.13281324367001</v>
      </c>
      <c r="H17">
        <v>2.1322769841102698</v>
      </c>
      <c r="I17">
        <v>3.7268718160995098</v>
      </c>
      <c r="J17">
        <v>1.7823363545822799</v>
      </c>
      <c r="K17">
        <v>4.4567119400795203</v>
      </c>
      <c r="L17">
        <v>4.0936510814379297</v>
      </c>
      <c r="M17">
        <v>4.0774849669574099E-2</v>
      </c>
      <c r="N17">
        <v>5.1096655365538899</v>
      </c>
      <c r="O17">
        <v>1.4055527331077899</v>
      </c>
      <c r="P17">
        <v>4.2779185731780496</v>
      </c>
      <c r="Q17">
        <v>3.6031939697592201</v>
      </c>
      <c r="S17" s="5">
        <f t="shared" si="2"/>
        <v>3.813726956484687</v>
      </c>
      <c r="T17" s="5">
        <f t="shared" si="3"/>
        <v>3.2374024934504182</v>
      </c>
      <c r="U17" s="7">
        <f t="shared" si="4"/>
        <v>4.101014846859611</v>
      </c>
      <c r="V17" s="9"/>
      <c r="W17" s="5"/>
      <c r="X17" s="2">
        <f t="shared" si="1"/>
        <v>37.827324488210749</v>
      </c>
      <c r="Y17" s="7">
        <v>39.381826724347299</v>
      </c>
    </row>
    <row r="18" spans="1:25" x14ac:dyDescent="0.3">
      <c r="A18" s="2">
        <v>1914</v>
      </c>
      <c r="B18">
        <v>7.2012601249838504</v>
      </c>
      <c r="C18">
        <v>7.3698548514548996</v>
      </c>
      <c r="D18">
        <v>7.6413001049054801</v>
      </c>
      <c r="E18">
        <v>7.0025192133367904</v>
      </c>
      <c r="F18">
        <v>5.6943721879018501</v>
      </c>
      <c r="G18">
        <v>4.6023002226058702</v>
      </c>
      <c r="H18">
        <v>3.61386815358515</v>
      </c>
      <c r="I18">
        <v>4.5454796446512802</v>
      </c>
      <c r="J18">
        <v>2.3674952637659401</v>
      </c>
      <c r="K18">
        <v>5.3764490564800296</v>
      </c>
      <c r="L18">
        <v>4.9710089340601904</v>
      </c>
      <c r="M18">
        <v>1.2575300263215401</v>
      </c>
      <c r="N18">
        <v>6.1351896354596898</v>
      </c>
      <c r="O18">
        <v>2.70022908073582</v>
      </c>
      <c r="P18">
        <v>5.4075900508932904</v>
      </c>
      <c r="Q18">
        <v>4.7530562394285898</v>
      </c>
      <c r="S18" s="5">
        <f t="shared" si="2"/>
        <v>5.0399689244106414</v>
      </c>
      <c r="T18" s="5">
        <f t="shared" si="3"/>
        <v>4.3080131542937208</v>
      </c>
      <c r="U18" s="7">
        <f t="shared" si="4"/>
        <v>5.4636275168540553</v>
      </c>
      <c r="V18" s="9"/>
      <c r="W18" s="5"/>
      <c r="X18" s="2">
        <f t="shared" si="1"/>
        <v>39.754423677728695</v>
      </c>
      <c r="Y18" s="7">
        <v>41.834529530337299</v>
      </c>
    </row>
    <row r="19" spans="1:25" x14ac:dyDescent="0.3">
      <c r="A19" s="2">
        <v>1915</v>
      </c>
      <c r="B19">
        <v>6.6905663976930603</v>
      </c>
      <c r="C19">
        <v>6.7986282505401201</v>
      </c>
      <c r="D19">
        <v>7.14300867029249</v>
      </c>
      <c r="E19">
        <v>6.5500799012510704</v>
      </c>
      <c r="F19">
        <v>5.2361824995034398</v>
      </c>
      <c r="G19">
        <v>4.16935853427404</v>
      </c>
      <c r="H19">
        <v>3.17996185642399</v>
      </c>
      <c r="I19">
        <v>4.4742109354228203</v>
      </c>
      <c r="J19">
        <v>2.4015892975950899</v>
      </c>
      <c r="K19">
        <v>5.3107998531158698</v>
      </c>
      <c r="L19">
        <v>4.9386452376842502</v>
      </c>
      <c r="M19">
        <v>0.89462960974810901</v>
      </c>
      <c r="N19">
        <v>5.9952099969942303</v>
      </c>
      <c r="O19">
        <v>2.30437185013131</v>
      </c>
      <c r="P19">
        <v>5.1443735163505799</v>
      </c>
      <c r="Q19">
        <v>4.4623936564955002</v>
      </c>
      <c r="S19" s="5">
        <f t="shared" si="2"/>
        <v>4.7308756289697467</v>
      </c>
      <c r="T19" s="5">
        <f t="shared" si="3"/>
        <v>4.0948349320095794</v>
      </c>
      <c r="U19" s="7">
        <f t="shared" si="4"/>
        <v>5.2016545014264457</v>
      </c>
      <c r="V19" s="9"/>
      <c r="W19" s="5"/>
      <c r="X19" s="2">
        <f t="shared" si="1"/>
        <v>39.370702877617241</v>
      </c>
      <c r="Y19" s="7">
        <v>41.362978102567602</v>
      </c>
    </row>
    <row r="20" spans="1:25" x14ac:dyDescent="0.3">
      <c r="A20" s="2">
        <v>1916</v>
      </c>
      <c r="B20">
        <v>6.83312989339802</v>
      </c>
      <c r="C20">
        <v>6.95235090682415</v>
      </c>
      <c r="D20">
        <v>7.3012466588632696</v>
      </c>
      <c r="E20">
        <v>6.71115801080329</v>
      </c>
      <c r="F20">
        <v>5.4052578630994601</v>
      </c>
      <c r="G20">
        <v>4.3182199449975602</v>
      </c>
      <c r="H20">
        <v>3.3904760681866302</v>
      </c>
      <c r="I20">
        <v>4.2920303934258799</v>
      </c>
      <c r="J20">
        <v>2.1224573446753201</v>
      </c>
      <c r="K20">
        <v>5.2382872848888598</v>
      </c>
      <c r="L20">
        <v>4.8171517021669104</v>
      </c>
      <c r="M20">
        <v>1.13655354628146</v>
      </c>
      <c r="N20">
        <v>5.9701089588670797</v>
      </c>
      <c r="O20">
        <v>2.6897165485418602</v>
      </c>
      <c r="P20">
        <v>5.1972273430211899</v>
      </c>
      <c r="Q20">
        <v>4.5075119420316003</v>
      </c>
      <c r="S20" s="5">
        <f t="shared" si="2"/>
        <v>4.8051802756295343</v>
      </c>
      <c r="T20" s="5">
        <f t="shared" si="3"/>
        <v>4.126807327464654</v>
      </c>
      <c r="U20" s="7">
        <f t="shared" si="4"/>
        <v>5.2121910606225565</v>
      </c>
      <c r="V20" s="9"/>
      <c r="W20" s="5"/>
      <c r="X20" s="2">
        <f t="shared" si="1"/>
        <v>39.428253189436376</v>
      </c>
      <c r="Y20" s="7">
        <v>41.381943909120601</v>
      </c>
    </row>
    <row r="21" spans="1:25" x14ac:dyDescent="0.3">
      <c r="A21" s="2">
        <v>1917</v>
      </c>
      <c r="B21">
        <v>4.4225170716847497</v>
      </c>
      <c r="C21">
        <v>4.5589135914632699</v>
      </c>
      <c r="D21">
        <v>4.8894408304397396</v>
      </c>
      <c r="E21">
        <v>4.1475967093689796</v>
      </c>
      <c r="F21">
        <v>2.6946612459339501</v>
      </c>
      <c r="G21">
        <v>1.51973037589086</v>
      </c>
      <c r="H21">
        <v>0.84325153076485404</v>
      </c>
      <c r="I21">
        <v>1.7647873257937501</v>
      </c>
      <c r="J21">
        <v>0.131235722319721</v>
      </c>
      <c r="K21">
        <v>2.5974536796138699</v>
      </c>
      <c r="L21">
        <v>2.2793143736173</v>
      </c>
      <c r="M21">
        <v>-1.53230688086111</v>
      </c>
      <c r="N21">
        <v>3.4224748807410701</v>
      </c>
      <c r="O21">
        <v>-0.18081540048938899</v>
      </c>
      <c r="P21">
        <v>2.8010677713237402</v>
      </c>
      <c r="Q21">
        <v>2.05401358490121</v>
      </c>
      <c r="S21" s="5">
        <f t="shared" si="2"/>
        <v>2.2758335257816604</v>
      </c>
      <c r="T21" s="5">
        <f t="shared" si="3"/>
        <v>1.596824206139009</v>
      </c>
      <c r="U21" s="7">
        <f t="shared" si="4"/>
        <v>2.9237804879396658</v>
      </c>
      <c r="V21" s="9"/>
      <c r="W21" s="5"/>
      <c r="X21" s="2">
        <f t="shared" si="1"/>
        <v>34.874283571050213</v>
      </c>
      <c r="Y21" s="7">
        <v>37.262804878291398</v>
      </c>
    </row>
    <row r="22" spans="1:25" x14ac:dyDescent="0.3">
      <c r="A22" s="2">
        <v>1918</v>
      </c>
      <c r="B22">
        <v>6.7033963973391497</v>
      </c>
      <c r="C22">
        <v>6.6652913634091204</v>
      </c>
      <c r="D22">
        <v>7.0990082125141196</v>
      </c>
      <c r="E22">
        <v>6.6083044139489697</v>
      </c>
      <c r="F22">
        <v>5.2609896000831897</v>
      </c>
      <c r="G22">
        <v>4.4329009299817104</v>
      </c>
      <c r="H22">
        <v>3.6220088993441601</v>
      </c>
      <c r="I22">
        <v>5.3859162569045997</v>
      </c>
      <c r="J22">
        <v>3.3104513623943101</v>
      </c>
      <c r="K22">
        <v>5.6858431421730602</v>
      </c>
      <c r="L22">
        <v>5.4461617908351201</v>
      </c>
      <c r="M22">
        <v>1.3743649276968599</v>
      </c>
      <c r="N22">
        <v>6.2622563709236996</v>
      </c>
      <c r="O22">
        <v>2.9527693575375702</v>
      </c>
      <c r="P22">
        <v>5.6336929754035099</v>
      </c>
      <c r="Q22">
        <v>5.1581576872770096</v>
      </c>
      <c r="S22" s="5">
        <f t="shared" si="2"/>
        <v>5.1000946054853857</v>
      </c>
      <c r="T22" s="5">
        <f t="shared" si="3"/>
        <v>4.6188134583734861</v>
      </c>
      <c r="U22" s="7">
        <f t="shared" si="4"/>
        <v>5.426781025195611</v>
      </c>
      <c r="V22" s="9"/>
      <c r="W22" s="5"/>
      <c r="X22" s="2">
        <f t="shared" si="1"/>
        <v>40.31386422507228</v>
      </c>
      <c r="Y22" s="7">
        <v>41.768205845352099</v>
      </c>
    </row>
    <row r="23" spans="1:25" x14ac:dyDescent="0.3">
      <c r="A23" s="2">
        <v>1919</v>
      </c>
      <c r="B23">
        <v>7.5029931218656802</v>
      </c>
      <c r="C23">
        <v>7.5627492150215296</v>
      </c>
      <c r="D23">
        <v>7.8401267087622903</v>
      </c>
      <c r="E23">
        <v>7.2078839130597601</v>
      </c>
      <c r="F23">
        <v>5.8808537210503697</v>
      </c>
      <c r="G23">
        <v>4.8432667288061699</v>
      </c>
      <c r="H23">
        <v>3.99455062199945</v>
      </c>
      <c r="I23">
        <v>5.5008872535130804</v>
      </c>
      <c r="J23">
        <v>3.1490233473581801</v>
      </c>
      <c r="K23">
        <v>6.3028402155392804</v>
      </c>
      <c r="L23">
        <v>5.85863963561515</v>
      </c>
      <c r="M23">
        <v>1.35305135225596</v>
      </c>
      <c r="N23">
        <v>7.0188208601246096</v>
      </c>
      <c r="O23">
        <v>2.9494142114299602</v>
      </c>
      <c r="P23">
        <v>6.1640315584940497</v>
      </c>
      <c r="Q23">
        <v>5.1038524826911997</v>
      </c>
      <c r="S23" s="5">
        <f t="shared" si="2"/>
        <v>5.5145615592241688</v>
      </c>
      <c r="T23" s="5">
        <f t="shared" si="3"/>
        <v>4.8831365604931705</v>
      </c>
      <c r="U23" s="7">
        <f t="shared" si="4"/>
        <v>5.9918101371278318</v>
      </c>
      <c r="V23" s="9"/>
      <c r="W23" s="5"/>
      <c r="X23" s="2">
        <f t="shared" si="1"/>
        <v>40.789645808887705</v>
      </c>
      <c r="Y23" s="7">
        <v>42.785258246830097</v>
      </c>
    </row>
    <row r="24" spans="1:25" x14ac:dyDescent="0.3">
      <c r="A24" s="2">
        <v>1920</v>
      </c>
      <c r="B24">
        <v>5.7884771756807503</v>
      </c>
      <c r="C24">
        <v>5.8664924701665599</v>
      </c>
      <c r="D24">
        <v>6.1680543549572597</v>
      </c>
      <c r="E24">
        <v>5.6598008465571503</v>
      </c>
      <c r="F24">
        <v>4.3549834103857901</v>
      </c>
      <c r="G24">
        <v>3.4524557524732198</v>
      </c>
      <c r="H24">
        <v>2.42713070046055</v>
      </c>
      <c r="I24">
        <v>3.75035048491968</v>
      </c>
      <c r="J24">
        <v>1.1375892294234899</v>
      </c>
      <c r="K24">
        <v>4.2487119942740703</v>
      </c>
      <c r="L24">
        <v>3.7825760779484998</v>
      </c>
      <c r="M24">
        <v>0.15986718831818</v>
      </c>
      <c r="N24">
        <v>4.98318191157664</v>
      </c>
      <c r="O24">
        <v>1.6963689845116401</v>
      </c>
      <c r="P24">
        <v>4.3175074751259803</v>
      </c>
      <c r="Q24">
        <v>3.8329572053829701</v>
      </c>
      <c r="S24" s="5">
        <f t="shared" si="2"/>
        <v>3.851656578885152</v>
      </c>
      <c r="T24" s="5">
        <f t="shared" si="3"/>
        <v>3.2013947043004056</v>
      </c>
      <c r="U24" s="7">
        <f t="shared" si="4"/>
        <v>4.4371417162382762</v>
      </c>
      <c r="V24" s="9"/>
      <c r="W24" s="5"/>
      <c r="X24" s="2">
        <f t="shared" si="1"/>
        <v>37.762510467740732</v>
      </c>
      <c r="Y24" s="7">
        <v>39.986855089228897</v>
      </c>
    </row>
    <row r="25" spans="1:25" x14ac:dyDescent="0.3">
      <c r="A25" s="2">
        <v>1921</v>
      </c>
      <c r="B25">
        <v>6.7902179475720601</v>
      </c>
      <c r="C25">
        <v>6.8835409236000196</v>
      </c>
      <c r="D25">
        <v>7.1478586744772201</v>
      </c>
      <c r="E25">
        <v>6.5503699761547498</v>
      </c>
      <c r="F25">
        <v>5.2126448428794099</v>
      </c>
      <c r="G25">
        <v>4.2339168033371202</v>
      </c>
      <c r="H25">
        <v>3.3012104465536898</v>
      </c>
      <c r="I25">
        <v>4.4665572010286896</v>
      </c>
      <c r="J25">
        <v>2.3307913600582002</v>
      </c>
      <c r="K25">
        <v>5.1378238978451201</v>
      </c>
      <c r="L25">
        <v>4.65504726318464</v>
      </c>
      <c r="M25">
        <v>0.77589111181154602</v>
      </c>
      <c r="N25">
        <v>6.0812852768048904</v>
      </c>
      <c r="O25">
        <v>2.35135330533328</v>
      </c>
      <c r="P25">
        <v>5.3785767401734397</v>
      </c>
      <c r="Q25">
        <v>4.5623645272973503</v>
      </c>
      <c r="S25" s="5">
        <f t="shared" si="2"/>
        <v>4.7412156436319641</v>
      </c>
      <c r="T25" s="5">
        <f t="shared" si="3"/>
        <v>4.0586906784175945</v>
      </c>
      <c r="U25" s="7">
        <f t="shared" si="4"/>
        <v>5.161177723701778</v>
      </c>
      <c r="V25" s="9"/>
      <c r="W25" s="5"/>
      <c r="X25" s="2">
        <f t="shared" si="1"/>
        <v>39.305643221151669</v>
      </c>
      <c r="Y25" s="7">
        <v>41.2901199026632</v>
      </c>
    </row>
    <row r="26" spans="1:25" x14ac:dyDescent="0.3">
      <c r="A26" s="2">
        <v>1922</v>
      </c>
      <c r="B26">
        <v>6.6936732035793698</v>
      </c>
      <c r="C26">
        <v>6.7857111202527403</v>
      </c>
      <c r="D26">
        <v>7.0518192879957704</v>
      </c>
      <c r="E26">
        <v>6.4665759787167598</v>
      </c>
      <c r="F26">
        <v>5.1627660303899701</v>
      </c>
      <c r="G26">
        <v>4.1895878141873499</v>
      </c>
      <c r="H26">
        <v>3.2277409801744401</v>
      </c>
      <c r="I26">
        <v>4.0355156679675996</v>
      </c>
      <c r="J26">
        <v>1.68868253524989</v>
      </c>
      <c r="K26">
        <v>4.8959560281609802</v>
      </c>
      <c r="L26">
        <v>4.2915737733448998</v>
      </c>
      <c r="M26">
        <v>1.0169936963956601</v>
      </c>
      <c r="N26">
        <v>5.9063272342289999</v>
      </c>
      <c r="O26">
        <v>2.4714093796194399</v>
      </c>
      <c r="P26">
        <v>5.1016518692549804</v>
      </c>
      <c r="Q26">
        <v>4.5512870455441403</v>
      </c>
      <c r="S26" s="5">
        <f t="shared" si="2"/>
        <v>4.5960794778164367</v>
      </c>
      <c r="T26" s="5">
        <f t="shared" si="3"/>
        <v>3.8956660663254032</v>
      </c>
      <c r="U26" s="7">
        <f t="shared" si="4"/>
        <v>5.0638718919128873</v>
      </c>
      <c r="V26" s="9"/>
      <c r="W26" s="5"/>
      <c r="X26" s="2">
        <f t="shared" si="1"/>
        <v>39.012198919385725</v>
      </c>
      <c r="Y26" s="7">
        <v>41.114969405443198</v>
      </c>
    </row>
    <row r="27" spans="1:25" x14ac:dyDescent="0.3">
      <c r="A27" s="2">
        <v>1923</v>
      </c>
      <c r="B27">
        <v>6.1622630906431599</v>
      </c>
      <c r="C27">
        <v>6.2937221127013601</v>
      </c>
      <c r="D27">
        <v>6.5950680861734403</v>
      </c>
      <c r="E27">
        <v>5.9340162355605903</v>
      </c>
      <c r="F27">
        <v>4.5475579888853304</v>
      </c>
      <c r="G27">
        <v>3.4184229115917302</v>
      </c>
      <c r="H27">
        <v>2.5490170312254401</v>
      </c>
      <c r="I27">
        <v>3.6360279102847999</v>
      </c>
      <c r="J27">
        <v>1.4993793131554001</v>
      </c>
      <c r="K27">
        <v>4.4572616087247203</v>
      </c>
      <c r="L27">
        <v>3.9247775247652199</v>
      </c>
      <c r="M27">
        <v>0.363618206651243</v>
      </c>
      <c r="N27">
        <v>5.39226762562582</v>
      </c>
      <c r="O27">
        <v>1.69761113467282</v>
      </c>
      <c r="P27">
        <v>4.7078903485650896</v>
      </c>
      <c r="Q27">
        <v>3.86616304933208</v>
      </c>
      <c r="S27" s="5">
        <f t="shared" si="2"/>
        <v>4.0653165111598906</v>
      </c>
      <c r="T27" s="5">
        <f t="shared" si="3"/>
        <v>3.380557768573154</v>
      </c>
      <c r="U27" s="7">
        <f t="shared" si="4"/>
        <v>4.4337197117179432</v>
      </c>
      <c r="V27" s="9"/>
      <c r="W27" s="5"/>
      <c r="X27" s="2">
        <f t="shared" si="1"/>
        <v>38.085003983431676</v>
      </c>
      <c r="Y27" s="7">
        <v>39.980695481092297</v>
      </c>
    </row>
    <row r="28" spans="1:25" x14ac:dyDescent="0.3">
      <c r="A28" s="2">
        <v>1924</v>
      </c>
      <c r="B28">
        <v>6.54345350024479</v>
      </c>
      <c r="C28">
        <v>6.7200360978887401</v>
      </c>
      <c r="D28">
        <v>7.03061098511753</v>
      </c>
      <c r="E28">
        <v>6.3803625868155001</v>
      </c>
      <c r="F28">
        <v>5.0061388910630997</v>
      </c>
      <c r="G28">
        <v>3.87416337324622</v>
      </c>
      <c r="H28">
        <v>2.8372703346072701</v>
      </c>
      <c r="I28">
        <v>3.70045030573027</v>
      </c>
      <c r="J28">
        <v>1.5234127880119901</v>
      </c>
      <c r="K28">
        <v>4.5276037910596898</v>
      </c>
      <c r="L28">
        <v>4.0470098944716799</v>
      </c>
      <c r="M28">
        <v>0.69971254277119399</v>
      </c>
      <c r="N28">
        <v>5.5045618844813999</v>
      </c>
      <c r="O28">
        <v>2.1344089841907801</v>
      </c>
      <c r="P28">
        <v>4.8157135772574797</v>
      </c>
      <c r="Q28">
        <v>4.2570985211822796</v>
      </c>
      <c r="S28" s="5">
        <f t="shared" si="2"/>
        <v>4.3501255036337447</v>
      </c>
      <c r="T28" s="5">
        <f t="shared" si="3"/>
        <v>3.6092076790932808</v>
      </c>
      <c r="U28" s="7">
        <f t="shared" si="4"/>
        <v>4.9418953792368354</v>
      </c>
      <c r="V28" s="9"/>
      <c r="W28" s="5"/>
      <c r="X28" s="2">
        <f t="shared" si="1"/>
        <v>38.496573822367907</v>
      </c>
      <c r="Y28" s="7">
        <v>40.895411682626303</v>
      </c>
    </row>
    <row r="29" spans="1:25" x14ac:dyDescent="0.3">
      <c r="A29" s="2">
        <v>1925</v>
      </c>
      <c r="B29">
        <v>6.9615411644112601</v>
      </c>
      <c r="C29">
        <v>7.1542851526443298</v>
      </c>
      <c r="D29">
        <v>7.4506276378892897</v>
      </c>
      <c r="E29">
        <v>6.8854869261179896</v>
      </c>
      <c r="F29">
        <v>5.5371566380540003</v>
      </c>
      <c r="G29">
        <v>4.4902281414972602</v>
      </c>
      <c r="H29">
        <v>3.28195259113834</v>
      </c>
      <c r="I29">
        <v>4.2401606300513999</v>
      </c>
      <c r="J29">
        <v>2.4228022986895401</v>
      </c>
      <c r="K29">
        <v>4.8633702885614696</v>
      </c>
      <c r="L29">
        <v>4.4129756285719699</v>
      </c>
      <c r="M29">
        <v>1.0401179735791199</v>
      </c>
      <c r="N29">
        <v>5.6719154965387597</v>
      </c>
      <c r="O29">
        <v>2.6662783851362302</v>
      </c>
      <c r="P29">
        <v>4.8893850938914598</v>
      </c>
      <c r="Q29">
        <v>4.6133131849439204</v>
      </c>
      <c r="S29" s="5">
        <f t="shared" si="2"/>
        <v>4.7863498269822715</v>
      </c>
      <c r="T29" s="5">
        <f t="shared" si="3"/>
        <v>4.0251480621442584</v>
      </c>
      <c r="U29" s="7">
        <f t="shared" si="4"/>
        <v>5.2869303038101103</v>
      </c>
      <c r="V29" s="9"/>
      <c r="W29" s="5"/>
      <c r="X29" s="2">
        <f t="shared" si="1"/>
        <v>39.245266511859668</v>
      </c>
      <c r="Y29" s="7">
        <v>41.516474546858198</v>
      </c>
    </row>
    <row r="30" spans="1:25" x14ac:dyDescent="0.3">
      <c r="A30" s="2">
        <v>1926</v>
      </c>
      <c r="B30">
        <v>7.5710233110271101</v>
      </c>
      <c r="C30">
        <v>7.7489553484198197</v>
      </c>
      <c r="D30">
        <v>8.0389540949912899</v>
      </c>
      <c r="E30">
        <v>7.43885469522378</v>
      </c>
      <c r="F30">
        <v>6.0876323908159202</v>
      </c>
      <c r="G30">
        <v>5.03088928999966</v>
      </c>
      <c r="H30">
        <v>3.8237490928336402</v>
      </c>
      <c r="I30">
        <v>5.1704011587247498</v>
      </c>
      <c r="J30">
        <v>2.9685691265210701</v>
      </c>
      <c r="K30">
        <v>5.7739640652316897</v>
      </c>
      <c r="L30">
        <v>5.3101027236307301</v>
      </c>
      <c r="M30">
        <v>1.6966749583205101</v>
      </c>
      <c r="N30">
        <v>6.58446615950702</v>
      </c>
      <c r="O30">
        <v>3.1890419855509702</v>
      </c>
      <c r="P30">
        <v>5.7909113820284999</v>
      </c>
      <c r="Q30">
        <v>5.1985937951362304</v>
      </c>
      <c r="S30" s="5">
        <f t="shared" si="2"/>
        <v>5.4639239736226681</v>
      </c>
      <c r="T30" s="5">
        <f t="shared" si="3"/>
        <v>4.7446314178736246</v>
      </c>
      <c r="U30" s="7">
        <f t="shared" si="4"/>
        <v>5.9080740628301678</v>
      </c>
      <c r="V30" s="9"/>
      <c r="W30" s="5"/>
      <c r="X30" s="2">
        <f t="shared" si="1"/>
        <v>40.540336552172526</v>
      </c>
      <c r="Y30" s="7">
        <v>42.634533313094302</v>
      </c>
    </row>
    <row r="31" spans="1:25" x14ac:dyDescent="0.3">
      <c r="A31" s="2">
        <v>1927</v>
      </c>
      <c r="B31">
        <v>7.1292443659207603</v>
      </c>
      <c r="C31">
        <v>7.2644610329850101</v>
      </c>
      <c r="D31">
        <v>7.5313245903955703</v>
      </c>
      <c r="E31">
        <v>6.9213074168522102</v>
      </c>
      <c r="F31">
        <v>5.5644285303272598</v>
      </c>
      <c r="G31">
        <v>4.51862476688542</v>
      </c>
      <c r="H31">
        <v>3.4434650951868901</v>
      </c>
      <c r="I31">
        <v>4.6104373977608901</v>
      </c>
      <c r="J31">
        <v>2.4443189539321502</v>
      </c>
      <c r="K31">
        <v>5.2129886055645898</v>
      </c>
      <c r="L31">
        <v>4.7171965540271898</v>
      </c>
      <c r="M31">
        <v>1.1912590764973301</v>
      </c>
      <c r="N31">
        <v>6.0014446369589196</v>
      </c>
      <c r="O31">
        <v>2.7854116432879099</v>
      </c>
      <c r="P31">
        <v>5.2899212366914101</v>
      </c>
      <c r="Q31">
        <v>4.7784702281429299</v>
      </c>
      <c r="S31" s="5">
        <f t="shared" si="2"/>
        <v>4.9627690082135283</v>
      </c>
      <c r="T31" s="5">
        <f t="shared" si="3"/>
        <v>4.2377931604892058</v>
      </c>
      <c r="U31" s="7">
        <f t="shared" si="4"/>
        <v>5.4575211214993882</v>
      </c>
      <c r="V31" s="9"/>
      <c r="W31" s="5"/>
      <c r="X31" s="2">
        <f t="shared" si="1"/>
        <v>39.628027688880572</v>
      </c>
      <c r="Y31" s="7">
        <v>41.823538018698898</v>
      </c>
    </row>
    <row r="32" spans="1:25" x14ac:dyDescent="0.3">
      <c r="A32" s="2">
        <v>1928</v>
      </c>
      <c r="B32">
        <v>7.0870307534118799</v>
      </c>
      <c r="C32">
        <v>7.1434418021655501</v>
      </c>
      <c r="D32">
        <v>7.3702657427944098</v>
      </c>
      <c r="E32">
        <v>6.7739360540942402</v>
      </c>
      <c r="F32">
        <v>5.4184782220040502</v>
      </c>
      <c r="G32">
        <v>4.5193440199224</v>
      </c>
      <c r="H32">
        <v>3.4985282373884301</v>
      </c>
      <c r="I32">
        <v>4.6513299451418302</v>
      </c>
      <c r="J32">
        <v>2.1970084936566701</v>
      </c>
      <c r="K32">
        <v>5.3247133208428599</v>
      </c>
      <c r="L32">
        <v>4.7783682222167698</v>
      </c>
      <c r="M32">
        <v>1.23981405867905</v>
      </c>
      <c r="N32">
        <v>6.1676079959817303</v>
      </c>
      <c r="O32">
        <v>2.8526755042903398</v>
      </c>
      <c r="P32">
        <v>5.4276416449924598</v>
      </c>
      <c r="Q32">
        <v>4.7755613927144198</v>
      </c>
      <c r="S32" s="5">
        <f t="shared" si="2"/>
        <v>4.9516090881435684</v>
      </c>
      <c r="T32" s="5">
        <f t="shared" si="3"/>
        <v>4.2606428433661199</v>
      </c>
      <c r="U32" s="7">
        <f t="shared" si="4"/>
        <v>5.3921982861366127</v>
      </c>
      <c r="V32" s="9"/>
      <c r="W32" s="5"/>
      <c r="X32" s="2">
        <f t="shared" si="1"/>
        <v>39.669157118059019</v>
      </c>
      <c r="Y32" s="7">
        <v>41.705956915045903</v>
      </c>
    </row>
    <row r="33" spans="1:25" x14ac:dyDescent="0.3">
      <c r="A33" s="2">
        <v>1929</v>
      </c>
      <c r="B33">
        <v>5.9835524195677596</v>
      </c>
      <c r="C33">
        <v>6.0993445842233402</v>
      </c>
      <c r="D33">
        <v>6.3717853080736404</v>
      </c>
      <c r="E33">
        <v>5.7904188309630298</v>
      </c>
      <c r="F33">
        <v>4.4651377067173996</v>
      </c>
      <c r="G33">
        <v>3.43605772587535</v>
      </c>
      <c r="H33">
        <v>2.3457062551419998</v>
      </c>
      <c r="I33">
        <v>3.0358506307209998</v>
      </c>
      <c r="J33">
        <v>0.859267389611022</v>
      </c>
      <c r="K33">
        <v>3.94805484242635</v>
      </c>
      <c r="L33">
        <v>3.46820983690758</v>
      </c>
      <c r="M33">
        <v>3.4560813642527999E-2</v>
      </c>
      <c r="N33">
        <v>4.8206451245775002</v>
      </c>
      <c r="O33">
        <v>1.67548005417602</v>
      </c>
      <c r="P33">
        <v>4.1008714835937701</v>
      </c>
      <c r="Q33">
        <v>3.6638752578056</v>
      </c>
      <c r="S33" s="5">
        <f t="shared" si="2"/>
        <v>3.7561761415014936</v>
      </c>
      <c r="T33" s="5">
        <f t="shared" si="3"/>
        <v>3.0096243614814613</v>
      </c>
      <c r="U33" s="7">
        <f t="shared" si="4"/>
        <v>4.3265084004403871</v>
      </c>
      <c r="V33" s="9"/>
      <c r="W33" s="5"/>
      <c r="X33" s="2">
        <f t="shared" si="1"/>
        <v>37.417323850666634</v>
      </c>
      <c r="Y33" s="7">
        <v>39.787715120792697</v>
      </c>
    </row>
    <row r="34" spans="1:25" x14ac:dyDescent="0.3">
      <c r="A34" s="2">
        <v>1930</v>
      </c>
      <c r="B34">
        <v>7.3530828072600203</v>
      </c>
      <c r="C34">
        <v>7.4995339088244002</v>
      </c>
      <c r="D34">
        <v>7.8062579992316596</v>
      </c>
      <c r="E34">
        <v>7.2069874915358101</v>
      </c>
      <c r="F34">
        <v>5.8459157366050398</v>
      </c>
      <c r="G34">
        <v>4.74389748752934</v>
      </c>
      <c r="H34">
        <v>3.6437340638408902</v>
      </c>
      <c r="I34">
        <v>4.6830978533992997</v>
      </c>
      <c r="J34">
        <v>2.63323018583533</v>
      </c>
      <c r="K34">
        <v>5.3546330751621598</v>
      </c>
      <c r="L34">
        <v>4.9071656445934302</v>
      </c>
      <c r="M34">
        <v>1.4464356226463799</v>
      </c>
      <c r="N34">
        <v>6.2044256369545003</v>
      </c>
      <c r="O34">
        <v>2.95104666670708</v>
      </c>
      <c r="P34">
        <v>5.51265842608393</v>
      </c>
      <c r="Q34">
        <v>4.9991806291554104</v>
      </c>
      <c r="S34" s="5">
        <f t="shared" si="2"/>
        <v>5.1744552022102921</v>
      </c>
      <c r="T34" s="5">
        <f t="shared" si="3"/>
        <v>4.4355619497196148</v>
      </c>
      <c r="U34" s="7">
        <f t="shared" si="4"/>
        <v>5.687975265727335</v>
      </c>
      <c r="V34" s="9"/>
      <c r="W34" s="5"/>
      <c r="X34" s="2">
        <f t="shared" si="1"/>
        <v>39.984011509495303</v>
      </c>
      <c r="Y34" s="7">
        <v>42.238355478309202</v>
      </c>
    </row>
    <row r="35" spans="1:25" x14ac:dyDescent="0.3">
      <c r="A35" s="2">
        <v>1931</v>
      </c>
      <c r="B35">
        <v>6.6511391949980201</v>
      </c>
      <c r="C35">
        <v>6.83655731335078</v>
      </c>
      <c r="D35">
        <v>7.1193693448419397</v>
      </c>
      <c r="E35">
        <v>6.5026585067788201</v>
      </c>
      <c r="F35">
        <v>5.1841000018054499</v>
      </c>
      <c r="G35">
        <v>4.0999443452652198</v>
      </c>
      <c r="H35">
        <v>2.89872641171495</v>
      </c>
      <c r="I35">
        <v>3.8523698806762701</v>
      </c>
      <c r="J35">
        <v>1.7601838275177799</v>
      </c>
      <c r="K35">
        <v>4.4263451857109599</v>
      </c>
      <c r="L35">
        <v>3.9335365759183301</v>
      </c>
      <c r="M35">
        <v>0.80379555960224103</v>
      </c>
      <c r="N35">
        <v>5.3127224891969602</v>
      </c>
      <c r="O35">
        <v>2.2952847428517802</v>
      </c>
      <c r="P35">
        <v>4.6136186201278502</v>
      </c>
      <c r="Q35">
        <v>4.2894615558728804</v>
      </c>
      <c r="S35" s="5">
        <f t="shared" si="2"/>
        <v>4.4112383472643888</v>
      </c>
      <c r="T35" s="5">
        <f t="shared" si="3"/>
        <v>3.6305424491076446</v>
      </c>
      <c r="U35" s="7">
        <f t="shared" si="4"/>
        <v>5.037319240116835</v>
      </c>
      <c r="V35" s="9"/>
      <c r="W35" s="5"/>
      <c r="X35" s="2">
        <f t="shared" si="1"/>
        <v>38.53497640839376</v>
      </c>
      <c r="Y35" s="7">
        <v>41.067174632210303</v>
      </c>
    </row>
    <row r="36" spans="1:25" x14ac:dyDescent="0.3">
      <c r="A36" s="2">
        <v>1932</v>
      </c>
      <c r="B36">
        <v>6.3694360354314696</v>
      </c>
      <c r="C36">
        <v>6.5742912642311699</v>
      </c>
      <c r="D36">
        <v>6.8563868898511604</v>
      </c>
      <c r="E36">
        <v>6.1812448429931104</v>
      </c>
      <c r="F36">
        <v>4.8339098646341103</v>
      </c>
      <c r="G36">
        <v>3.62889571398334</v>
      </c>
      <c r="H36">
        <v>2.5010214721570199</v>
      </c>
      <c r="I36">
        <v>3.0757692694012602</v>
      </c>
      <c r="J36">
        <v>1.1684669460999499</v>
      </c>
      <c r="K36">
        <v>3.9274000984723401</v>
      </c>
      <c r="L36">
        <v>3.4442208497250699</v>
      </c>
      <c r="M36">
        <v>0.146212343961163</v>
      </c>
      <c r="N36">
        <v>4.8449642094758003</v>
      </c>
      <c r="O36">
        <v>1.7248327732086199</v>
      </c>
      <c r="P36">
        <v>4.1520748079800196</v>
      </c>
      <c r="Q36">
        <v>3.6212314803743602</v>
      </c>
      <c r="S36" s="5">
        <f t="shared" si="2"/>
        <v>3.9406474288737474</v>
      </c>
      <c r="T36" s="5">
        <f t="shared" si="3"/>
        <v>3.0866852794241253</v>
      </c>
      <c r="U36" s="7">
        <f t="shared" si="4"/>
        <v>4.5399855566388325</v>
      </c>
      <c r="V36" s="9"/>
      <c r="W36" s="5"/>
      <c r="X36" s="2">
        <f t="shared" si="1"/>
        <v>37.556033502963423</v>
      </c>
      <c r="Y36" s="7">
        <v>40.171974001949899</v>
      </c>
    </row>
    <row r="37" spans="1:25" x14ac:dyDescent="0.3">
      <c r="A37" s="2">
        <v>1933</v>
      </c>
      <c r="B37">
        <v>6.1859560543543699</v>
      </c>
      <c r="C37">
        <v>6.3495368203071703</v>
      </c>
      <c r="D37">
        <v>6.7120944052526399</v>
      </c>
      <c r="E37">
        <v>6.1234260931406901</v>
      </c>
      <c r="F37">
        <v>4.8394130540220699</v>
      </c>
      <c r="G37">
        <v>3.588758372444</v>
      </c>
      <c r="H37">
        <v>2.4235999981426199</v>
      </c>
      <c r="I37">
        <v>3.21438931349206</v>
      </c>
      <c r="J37">
        <v>1.3776067416961899</v>
      </c>
      <c r="K37">
        <v>4.0433307954709798</v>
      </c>
      <c r="L37">
        <v>3.50129216746108</v>
      </c>
      <c r="M37">
        <v>8.0360685146018296E-2</v>
      </c>
      <c r="N37">
        <v>4.8647699973354603</v>
      </c>
      <c r="O37">
        <v>1.6459082910459299</v>
      </c>
      <c r="P37">
        <v>4.15905579867428</v>
      </c>
      <c r="Q37">
        <v>3.5883803282698499</v>
      </c>
      <c r="S37" s="5">
        <f t="shared" si="2"/>
        <v>3.9186174322659628</v>
      </c>
      <c r="T37" s="5">
        <f t="shared" si="3"/>
        <v>3.1101244015267056</v>
      </c>
      <c r="U37" s="7">
        <f t="shared" si="4"/>
        <v>4.4459474991485557</v>
      </c>
      <c r="V37" s="9"/>
      <c r="W37" s="5"/>
      <c r="X37" s="2">
        <f t="shared" ref="X37:X68" si="5">(T37*(9/5))+32</f>
        <v>37.598223922748069</v>
      </c>
      <c r="Y37" s="7">
        <v>40.0027054984674</v>
      </c>
    </row>
    <row r="38" spans="1:25" x14ac:dyDescent="0.3">
      <c r="A38" s="2">
        <v>1934</v>
      </c>
      <c r="B38">
        <v>9.6910822419271092</v>
      </c>
      <c r="C38">
        <v>9.8446866017498404</v>
      </c>
      <c r="D38">
        <v>10.183050657135199</v>
      </c>
      <c r="E38">
        <v>9.5411519344538895</v>
      </c>
      <c r="F38">
        <v>8.2247001877386303</v>
      </c>
      <c r="G38">
        <v>7.0433583373892796</v>
      </c>
      <c r="H38">
        <v>6.0054242519483196</v>
      </c>
      <c r="I38">
        <v>6.7954034465633004</v>
      </c>
      <c r="J38">
        <v>4.87644768218472</v>
      </c>
      <c r="K38">
        <v>7.7049404012013802</v>
      </c>
      <c r="L38">
        <v>7.19206682423206</v>
      </c>
      <c r="M38">
        <v>3.4492849773740102</v>
      </c>
      <c r="N38">
        <v>8.5419873774868194</v>
      </c>
      <c r="O38">
        <v>5.0381451610016503</v>
      </c>
      <c r="P38">
        <v>7.7595010667631099</v>
      </c>
      <c r="Q38">
        <v>6.9213180350930701</v>
      </c>
      <c r="S38" s="5">
        <f t="shared" si="2"/>
        <v>7.4257843240151491</v>
      </c>
      <c r="T38" s="5">
        <f t="shared" si="3"/>
        <v>6.6238479588282289</v>
      </c>
      <c r="U38" s="7">
        <f t="shared" si="4"/>
        <v>7.9236265612963903</v>
      </c>
      <c r="V38" s="9"/>
      <c r="W38" s="5"/>
      <c r="X38" s="2">
        <f t="shared" si="5"/>
        <v>43.922926325890813</v>
      </c>
      <c r="Y38" s="7">
        <v>46.262527810333502</v>
      </c>
    </row>
    <row r="39" spans="1:25" x14ac:dyDescent="0.3">
      <c r="A39" s="2">
        <v>1935</v>
      </c>
      <c r="B39">
        <v>7.71713445164161</v>
      </c>
      <c r="C39">
        <v>7.80591933100599</v>
      </c>
      <c r="D39">
        <v>8.0695882171800708</v>
      </c>
      <c r="E39">
        <v>7.4800418030725799</v>
      </c>
      <c r="F39">
        <v>6.1403032381240603</v>
      </c>
      <c r="G39">
        <v>5.1117065230460996</v>
      </c>
      <c r="H39">
        <v>4.1029734009340997</v>
      </c>
      <c r="I39">
        <v>4.74554685746154</v>
      </c>
      <c r="J39">
        <v>2.57999945111471</v>
      </c>
      <c r="K39">
        <v>5.6895902016391497</v>
      </c>
      <c r="L39">
        <v>5.1064823274743096</v>
      </c>
      <c r="M39">
        <v>1.7222348147875599</v>
      </c>
      <c r="N39">
        <v>6.68946671616541</v>
      </c>
      <c r="O39">
        <v>3.30876263722981</v>
      </c>
      <c r="P39">
        <v>5.9592007140590697</v>
      </c>
      <c r="Q39">
        <v>5.2635898387595397</v>
      </c>
      <c r="S39" s="5">
        <f t="shared" si="2"/>
        <v>5.4682837827309747</v>
      </c>
      <c r="T39" s="5">
        <f t="shared" si="3"/>
        <v>4.7070929058972846</v>
      </c>
      <c r="U39" s="7">
        <f t="shared" si="4"/>
        <v>6.0171564908684996</v>
      </c>
      <c r="V39" s="9"/>
      <c r="W39" s="5"/>
      <c r="X39" s="2">
        <f t="shared" si="5"/>
        <v>40.472767230615112</v>
      </c>
      <c r="Y39" s="7">
        <v>42.830881683563298</v>
      </c>
    </row>
    <row r="40" spans="1:25" x14ac:dyDescent="0.3">
      <c r="A40" s="2">
        <v>1936</v>
      </c>
      <c r="B40">
        <v>7.1282559747252998</v>
      </c>
      <c r="C40">
        <v>7.2453403989148297</v>
      </c>
      <c r="D40">
        <v>7.60332183466583</v>
      </c>
      <c r="E40">
        <v>7.0267580167843304</v>
      </c>
      <c r="F40">
        <v>5.5723278154440896</v>
      </c>
      <c r="G40">
        <v>4.4878956359592301</v>
      </c>
      <c r="H40">
        <v>3.4923228155719799</v>
      </c>
      <c r="I40">
        <v>4.5084418156107899</v>
      </c>
      <c r="J40">
        <v>2.16329972112114</v>
      </c>
      <c r="K40">
        <v>5.4365397248763196</v>
      </c>
      <c r="L40">
        <v>4.8076418683828503</v>
      </c>
      <c r="M40">
        <v>1.3272659752538301</v>
      </c>
      <c r="N40">
        <v>6.2380446622280497</v>
      </c>
      <c r="O40">
        <v>2.7678184307338101</v>
      </c>
      <c r="P40">
        <v>5.5515542303929601</v>
      </c>
      <c r="Q40">
        <v>4.8616034632823499</v>
      </c>
      <c r="S40" s="5">
        <f t="shared" si="2"/>
        <v>5.0136520239967313</v>
      </c>
      <c r="T40" s="5">
        <f t="shared" si="3"/>
        <v>4.3131136901310363</v>
      </c>
      <c r="U40" s="7">
        <f t="shared" si="4"/>
        <v>5.4641641566337205</v>
      </c>
      <c r="V40" s="9"/>
      <c r="W40" s="5"/>
      <c r="X40" s="2">
        <f t="shared" si="5"/>
        <v>39.763604642235862</v>
      </c>
      <c r="Y40" s="7">
        <v>41.835495481940697</v>
      </c>
    </row>
    <row r="41" spans="1:25" x14ac:dyDescent="0.3">
      <c r="A41" s="2">
        <v>1937</v>
      </c>
      <c r="B41">
        <v>5.9951516721346598</v>
      </c>
      <c r="C41">
        <v>6.1539596967501202</v>
      </c>
      <c r="D41">
        <v>6.6644016210346999</v>
      </c>
      <c r="E41">
        <v>6.12187300683701</v>
      </c>
      <c r="F41">
        <v>4.3774466481927297</v>
      </c>
      <c r="G41">
        <v>3.3013475636913401</v>
      </c>
      <c r="H41">
        <v>2.3912187288885201</v>
      </c>
      <c r="I41">
        <v>3.73460367738384</v>
      </c>
      <c r="J41">
        <v>1.6200158805063301</v>
      </c>
      <c r="K41">
        <v>4.5308540736159202</v>
      </c>
      <c r="L41">
        <v>4.0458664195178304</v>
      </c>
      <c r="M41">
        <v>0.56169988749778399</v>
      </c>
      <c r="N41">
        <v>5.2289810930212903</v>
      </c>
      <c r="O41">
        <v>1.87292273665128</v>
      </c>
      <c r="P41">
        <v>4.6619154397755498</v>
      </c>
      <c r="Q41">
        <v>4.2158988221050899</v>
      </c>
      <c r="S41" s="5">
        <f t="shared" si="2"/>
        <v>4.0923848104752496</v>
      </c>
      <c r="T41" s="5">
        <f t="shared" si="3"/>
        <v>3.4983483524689913</v>
      </c>
      <c r="U41" s="7">
        <f t="shared" si="4"/>
        <v>4.6655581182404999</v>
      </c>
      <c r="V41" s="9"/>
      <c r="W41" s="5"/>
      <c r="X41" s="2">
        <f t="shared" si="5"/>
        <v>38.297027034444184</v>
      </c>
      <c r="Y41" s="7">
        <v>40.398004612832899</v>
      </c>
    </row>
    <row r="42" spans="1:25" x14ac:dyDescent="0.3">
      <c r="A42" s="2">
        <v>1938</v>
      </c>
      <c r="B42">
        <v>7.0507084300256802</v>
      </c>
      <c r="C42">
        <v>7.1373013943841999</v>
      </c>
      <c r="D42">
        <v>7.6679150166576902</v>
      </c>
      <c r="E42">
        <v>7.1378152642756296</v>
      </c>
      <c r="F42">
        <v>5.3010191884759399</v>
      </c>
      <c r="G42">
        <v>4.2332379644455997</v>
      </c>
      <c r="H42">
        <v>3.3999644808573302</v>
      </c>
      <c r="I42">
        <v>5.43797223078061</v>
      </c>
      <c r="J42">
        <v>3.1235795556682402</v>
      </c>
      <c r="K42">
        <v>6.2676025635575598</v>
      </c>
      <c r="L42">
        <v>5.7413814897406601</v>
      </c>
      <c r="M42">
        <v>1.8365163672052001</v>
      </c>
      <c r="N42">
        <v>6.7228303836633101</v>
      </c>
      <c r="O42">
        <v>3.0351014973366102</v>
      </c>
      <c r="P42">
        <v>6.1432027290945204</v>
      </c>
      <c r="Q42">
        <v>5.5509752038407001</v>
      </c>
      <c r="S42" s="5">
        <f t="shared" si="2"/>
        <v>5.3616952350005924</v>
      </c>
      <c r="T42" s="5">
        <f t="shared" si="3"/>
        <v>4.9246404583348031</v>
      </c>
      <c r="U42" s="7">
        <f t="shared" si="4"/>
        <v>5.8013569545520012</v>
      </c>
      <c r="V42" s="9"/>
      <c r="W42" s="5"/>
      <c r="X42" s="2">
        <f t="shared" si="5"/>
        <v>40.864352825002648</v>
      </c>
      <c r="Y42" s="7">
        <v>42.442442518193602</v>
      </c>
    </row>
    <row r="43" spans="1:25" x14ac:dyDescent="0.3">
      <c r="A43" s="2">
        <v>1939</v>
      </c>
      <c r="B43">
        <v>5.9535323273645702</v>
      </c>
      <c r="C43">
        <v>6.0486137791855699</v>
      </c>
      <c r="D43">
        <v>6.5835284011004704</v>
      </c>
      <c r="E43">
        <v>6.0488197682655001</v>
      </c>
      <c r="F43">
        <v>4.2195539004182203</v>
      </c>
      <c r="G43">
        <v>3.1001295233425998</v>
      </c>
      <c r="H43">
        <v>2.2886978077561899</v>
      </c>
      <c r="I43">
        <v>4.1112755605619196</v>
      </c>
      <c r="J43">
        <v>2.5315823169603702</v>
      </c>
      <c r="K43">
        <v>5.0643999831317199</v>
      </c>
      <c r="L43">
        <v>4.6941771703223703</v>
      </c>
      <c r="M43">
        <v>0.65996343860887496</v>
      </c>
      <c r="N43">
        <v>5.4682061161692799</v>
      </c>
      <c r="O43">
        <v>1.88830842645201</v>
      </c>
      <c r="P43">
        <v>4.9072816995725201</v>
      </c>
      <c r="Q43">
        <v>4.3615398243682</v>
      </c>
      <c r="S43" s="5">
        <f t="shared" si="2"/>
        <v>4.245600627723773</v>
      </c>
      <c r="T43" s="5">
        <f t="shared" si="3"/>
        <v>3.8148937191223657</v>
      </c>
      <c r="U43" s="7">
        <f t="shared" si="4"/>
        <v>4.5237984428096096</v>
      </c>
      <c r="V43" s="9"/>
      <c r="W43" s="5"/>
      <c r="X43" s="2">
        <f t="shared" si="5"/>
        <v>38.866808694420257</v>
      </c>
      <c r="Y43" s="7">
        <v>40.142837197057297</v>
      </c>
    </row>
    <row r="44" spans="1:25" x14ac:dyDescent="0.3">
      <c r="A44" s="2">
        <v>1940</v>
      </c>
      <c r="B44">
        <v>7.8628798760117498</v>
      </c>
      <c r="C44">
        <v>7.9631185718898596</v>
      </c>
      <c r="D44">
        <v>8.4971599341904493</v>
      </c>
      <c r="E44">
        <v>7.9517655036122097</v>
      </c>
      <c r="F44">
        <v>6.1164429841736103</v>
      </c>
      <c r="G44">
        <v>4.9649564965826603</v>
      </c>
      <c r="H44">
        <v>4.1225814646710504</v>
      </c>
      <c r="I44">
        <v>6.1586696950138604</v>
      </c>
      <c r="J44">
        <v>4.3658069251664999</v>
      </c>
      <c r="K44">
        <v>7.0379567046960201</v>
      </c>
      <c r="L44">
        <v>6.6353153068511199</v>
      </c>
      <c r="M44">
        <v>2.5467431253748498</v>
      </c>
      <c r="N44">
        <v>7.5384886461854599</v>
      </c>
      <c r="O44">
        <v>3.7332866505154798</v>
      </c>
      <c r="P44">
        <v>6.9882999570643296</v>
      </c>
      <c r="Q44">
        <v>6.2080285825201704</v>
      </c>
      <c r="S44" s="5">
        <f t="shared" si="2"/>
        <v>6.168218776532461</v>
      </c>
      <c r="T44" s="5">
        <f t="shared" si="3"/>
        <v>5.7345444264574619</v>
      </c>
      <c r="U44" s="7">
        <f t="shared" si="4"/>
        <v>6.4403024039564452</v>
      </c>
      <c r="V44" s="9"/>
      <c r="W44" s="5"/>
      <c r="X44" s="2">
        <f t="shared" si="5"/>
        <v>42.322179967623434</v>
      </c>
      <c r="Y44" s="7">
        <v>43.592544327121601</v>
      </c>
    </row>
    <row r="45" spans="1:25" x14ac:dyDescent="0.3">
      <c r="A45" s="2">
        <v>1941</v>
      </c>
      <c r="B45">
        <v>6.2377705021263798</v>
      </c>
      <c r="C45">
        <v>6.2769785083728298</v>
      </c>
      <c r="D45">
        <v>6.5966699295664499</v>
      </c>
      <c r="E45">
        <v>6.0946196696529604</v>
      </c>
      <c r="F45">
        <v>4.5832263624831402</v>
      </c>
      <c r="G45">
        <v>3.6247664556111401</v>
      </c>
      <c r="H45">
        <v>2.7064655307221099</v>
      </c>
      <c r="I45">
        <v>4.5277308482013296</v>
      </c>
      <c r="J45">
        <v>2.63671740375153</v>
      </c>
      <c r="K45">
        <v>5.3282156844661701</v>
      </c>
      <c r="L45">
        <v>4.9050476030535899</v>
      </c>
      <c r="M45">
        <v>0.96648896295730402</v>
      </c>
      <c r="N45">
        <v>5.9942453874300599</v>
      </c>
      <c r="O45">
        <v>2.28087295571419</v>
      </c>
      <c r="P45">
        <v>5.4182000170831799</v>
      </c>
      <c r="Q45">
        <v>4.6803596441876403</v>
      </c>
      <c r="S45" s="5">
        <f t="shared" si="2"/>
        <v>4.5536484665862504</v>
      </c>
      <c r="T45" s="5">
        <f t="shared" si="3"/>
        <v>4.1184045865704864</v>
      </c>
      <c r="U45" s="7">
        <f t="shared" si="4"/>
        <v>4.8741537965743875</v>
      </c>
      <c r="V45" s="9"/>
      <c r="W45" s="5"/>
      <c r="X45" s="2">
        <f t="shared" si="5"/>
        <v>39.413128255826877</v>
      </c>
      <c r="Y45" s="7">
        <v>40.773476833833897</v>
      </c>
    </row>
    <row r="46" spans="1:25" x14ac:dyDescent="0.3">
      <c r="A46" s="2">
        <v>1942</v>
      </c>
      <c r="B46">
        <v>5.5058869783192499</v>
      </c>
      <c r="C46">
        <v>5.57018018062801</v>
      </c>
      <c r="D46">
        <v>5.9102775100159297</v>
      </c>
      <c r="E46">
        <v>5.3977115203256503</v>
      </c>
      <c r="F46">
        <v>3.8866973912879201</v>
      </c>
      <c r="G46">
        <v>2.9258812982742102</v>
      </c>
      <c r="H46">
        <v>2.0551479362461702</v>
      </c>
      <c r="I46">
        <v>3.56771010666677</v>
      </c>
      <c r="J46">
        <v>1.61895612429266</v>
      </c>
      <c r="K46">
        <v>4.2554339787731399</v>
      </c>
      <c r="L46">
        <v>3.81600503202987</v>
      </c>
      <c r="M46">
        <v>0.30388891615279701</v>
      </c>
      <c r="N46">
        <v>4.9997518206021603</v>
      </c>
      <c r="O46">
        <v>1.57001732212223</v>
      </c>
      <c r="P46">
        <v>4.4267310622620304</v>
      </c>
      <c r="Q46">
        <v>3.8933215172323501</v>
      </c>
      <c r="S46" s="5">
        <f t="shared" si="2"/>
        <v>3.7314749184519478</v>
      </c>
      <c r="T46" s="5">
        <f t="shared" si="3"/>
        <v>3.2265382889985483</v>
      </c>
      <c r="U46" s="7">
        <f t="shared" si="4"/>
        <v>4.238750817255724</v>
      </c>
      <c r="V46" s="9"/>
      <c r="W46" s="5"/>
      <c r="X46" s="2">
        <f t="shared" si="5"/>
        <v>37.80776892019739</v>
      </c>
      <c r="Y46" s="7">
        <v>39.629751471060302</v>
      </c>
    </row>
    <row r="47" spans="1:25" x14ac:dyDescent="0.3">
      <c r="A47" s="2">
        <v>1943</v>
      </c>
      <c r="B47">
        <v>7.1446768721489002</v>
      </c>
      <c r="C47">
        <v>7.1899545772434896</v>
      </c>
      <c r="D47">
        <v>7.51071658248771</v>
      </c>
      <c r="E47">
        <v>6.96888761663274</v>
      </c>
      <c r="F47">
        <v>5.5338328867742499</v>
      </c>
      <c r="G47">
        <v>4.5309369074155201</v>
      </c>
      <c r="H47">
        <v>3.6539167240874399</v>
      </c>
      <c r="I47">
        <v>5.0731222655675197</v>
      </c>
      <c r="J47">
        <v>2.58641280148127</v>
      </c>
      <c r="K47">
        <v>5.7696774474561998</v>
      </c>
      <c r="L47">
        <v>5.1746706221201704</v>
      </c>
      <c r="M47">
        <v>1.70113890595632</v>
      </c>
      <c r="N47">
        <v>6.6626076765256403</v>
      </c>
      <c r="O47">
        <v>2.9767923629447202</v>
      </c>
      <c r="P47">
        <v>6.0764281606020996</v>
      </c>
      <c r="Q47">
        <v>5.2900246613646198</v>
      </c>
      <c r="S47" s="5">
        <f t="shared" si="2"/>
        <v>5.2402373169255387</v>
      </c>
      <c r="T47" s="5">
        <f t="shared" si="3"/>
        <v>4.6538467107392947</v>
      </c>
      <c r="U47" s="7">
        <f t="shared" si="4"/>
        <v>5.6025929106267789</v>
      </c>
      <c r="V47" s="9"/>
      <c r="W47" s="5"/>
      <c r="X47" s="2">
        <f t="shared" si="5"/>
        <v>40.376924079330735</v>
      </c>
      <c r="Y47" s="7">
        <v>42.084667239128201</v>
      </c>
    </row>
    <row r="48" spans="1:25" x14ac:dyDescent="0.3">
      <c r="A48" s="2">
        <v>1944</v>
      </c>
      <c r="B48">
        <v>5.9684603803796197</v>
      </c>
      <c r="C48">
        <v>6.0915563617899098</v>
      </c>
      <c r="D48">
        <v>6.4987212520479503</v>
      </c>
      <c r="E48">
        <v>5.9771998690777099</v>
      </c>
      <c r="F48">
        <v>4.4204394351589196</v>
      </c>
      <c r="G48">
        <v>3.4615947648150001</v>
      </c>
      <c r="H48">
        <v>2.5488414090187801</v>
      </c>
      <c r="I48">
        <v>3.85627647224671</v>
      </c>
      <c r="J48">
        <v>1.7306401073281199</v>
      </c>
      <c r="K48">
        <v>4.5870589959979702</v>
      </c>
      <c r="L48">
        <v>4.0658143014529999</v>
      </c>
      <c r="M48">
        <v>0.59747807836272004</v>
      </c>
      <c r="N48">
        <v>5.3617094595575603</v>
      </c>
      <c r="O48">
        <v>1.9235005587176499</v>
      </c>
      <c r="P48">
        <v>4.7105053675875004</v>
      </c>
      <c r="Q48">
        <v>4.1960307843372497</v>
      </c>
      <c r="S48" s="5">
        <f t="shared" si="2"/>
        <v>4.1247392248672732</v>
      </c>
      <c r="T48" s="5">
        <f t="shared" si="3"/>
        <v>3.5399596187762761</v>
      </c>
      <c r="U48" s="7">
        <f t="shared" si="4"/>
        <v>4.6561199522589432</v>
      </c>
      <c r="V48" s="9"/>
      <c r="W48" s="5"/>
      <c r="X48" s="2">
        <f t="shared" si="5"/>
        <v>38.3719273137973</v>
      </c>
      <c r="Y48" s="7">
        <v>40.381015914066097</v>
      </c>
    </row>
    <row r="49" spans="1:25" x14ac:dyDescent="0.3">
      <c r="A49" s="2">
        <v>1945</v>
      </c>
      <c r="B49">
        <v>5.98847220650274</v>
      </c>
      <c r="C49">
        <v>6.0797352876565203</v>
      </c>
      <c r="D49">
        <v>6.4260351215731601</v>
      </c>
      <c r="E49">
        <v>5.8982685817431104</v>
      </c>
      <c r="F49">
        <v>4.4325482909809999</v>
      </c>
      <c r="G49">
        <v>3.5210129848898299</v>
      </c>
      <c r="H49">
        <v>2.6224125248112098</v>
      </c>
      <c r="I49">
        <v>4.2727801267414902</v>
      </c>
      <c r="J49">
        <v>1.90132315191504</v>
      </c>
      <c r="K49">
        <v>4.9180238710690896</v>
      </c>
      <c r="L49">
        <v>4.36975079921827</v>
      </c>
      <c r="M49">
        <v>0.73498764168726205</v>
      </c>
      <c r="N49">
        <v>5.7000165090169004</v>
      </c>
      <c r="O49">
        <v>1.9616886779053599</v>
      </c>
      <c r="P49">
        <v>5.0728026324755504</v>
      </c>
      <c r="Q49">
        <v>4.3498146667872399</v>
      </c>
      <c r="S49" s="5">
        <f t="shared" si="2"/>
        <v>4.2656045671858607</v>
      </c>
      <c r="T49" s="5">
        <f t="shared" si="3"/>
        <v>3.7437924655868708</v>
      </c>
      <c r="U49" s="7">
        <f t="shared" si="4"/>
        <v>4.7071239764265016</v>
      </c>
      <c r="V49" s="9"/>
      <c r="W49" s="5"/>
      <c r="X49" s="2">
        <f t="shared" si="5"/>
        <v>38.738826438056364</v>
      </c>
      <c r="Y49" s="7">
        <v>40.472823157567703</v>
      </c>
    </row>
    <row r="50" spans="1:25" x14ac:dyDescent="0.3">
      <c r="A50" s="2">
        <v>1946</v>
      </c>
      <c r="B50">
        <v>6.8851415404718201</v>
      </c>
      <c r="C50">
        <v>7.0134676552798698</v>
      </c>
      <c r="D50">
        <v>7.3451028180449001</v>
      </c>
      <c r="E50">
        <v>6.7795740589703604</v>
      </c>
      <c r="F50">
        <v>5.3241433146473502</v>
      </c>
      <c r="G50">
        <v>4.25386438696352</v>
      </c>
      <c r="H50">
        <v>3.35141747226454</v>
      </c>
      <c r="I50">
        <v>4.2497210809629298</v>
      </c>
      <c r="J50">
        <v>2.09613580638415</v>
      </c>
      <c r="K50">
        <v>5.2460648242741401</v>
      </c>
      <c r="L50">
        <v>4.7065219086327001</v>
      </c>
      <c r="M50">
        <v>1.35297300913563</v>
      </c>
      <c r="N50">
        <v>6.1614665051029096</v>
      </c>
      <c r="O50">
        <v>2.6662108035936698</v>
      </c>
      <c r="P50">
        <v>5.4581674260635902</v>
      </c>
      <c r="Q50">
        <v>4.8405696282239798</v>
      </c>
      <c r="S50" s="5">
        <f t="shared" si="2"/>
        <v>4.8581588899385046</v>
      </c>
      <c r="T50" s="5">
        <f t="shared" si="3"/>
        <v>4.2082765169055314</v>
      </c>
      <c r="U50" s="7">
        <f t="shared" si="4"/>
        <v>5.2912249385036683</v>
      </c>
      <c r="V50" s="9"/>
      <c r="W50" s="5"/>
      <c r="X50" s="2">
        <f t="shared" si="5"/>
        <v>39.574897730429953</v>
      </c>
      <c r="Y50" s="7">
        <v>41.524204889306603</v>
      </c>
    </row>
    <row r="51" spans="1:25" x14ac:dyDescent="0.3">
      <c r="A51" s="2">
        <v>1947</v>
      </c>
      <c r="B51">
        <v>6.28410772780237</v>
      </c>
      <c r="C51">
        <v>6.3862588458477596</v>
      </c>
      <c r="D51">
        <v>6.8233078794120097</v>
      </c>
      <c r="E51">
        <v>6.3117709663939001</v>
      </c>
      <c r="F51">
        <v>4.6610663944727797</v>
      </c>
      <c r="G51">
        <v>3.6636751975098698</v>
      </c>
      <c r="H51">
        <v>2.8454755487507302</v>
      </c>
      <c r="I51">
        <v>4.4945425231979304</v>
      </c>
      <c r="J51">
        <v>2.4485013747868498</v>
      </c>
      <c r="K51">
        <v>5.3284983528803496</v>
      </c>
      <c r="L51">
        <v>4.9002138186807498</v>
      </c>
      <c r="M51">
        <v>1.0828198254924899</v>
      </c>
      <c r="N51">
        <v>6.1448112600878497</v>
      </c>
      <c r="O51">
        <v>2.30150820465937</v>
      </c>
      <c r="P51">
        <v>5.5275012253081997</v>
      </c>
      <c r="Q51">
        <v>4.7018970561456204</v>
      </c>
      <c r="S51" s="5">
        <f t="shared" si="2"/>
        <v>4.6191222625893023</v>
      </c>
      <c r="T51" s="5">
        <f t="shared" si="3"/>
        <v>4.1449813681314156</v>
      </c>
      <c r="U51" s="7">
        <f t="shared" si="4"/>
        <v>5.0640787328104988</v>
      </c>
      <c r="V51" s="9"/>
      <c r="W51" s="5"/>
      <c r="X51" s="2">
        <f t="shared" si="5"/>
        <v>39.460966462636549</v>
      </c>
      <c r="Y51" s="7">
        <v>41.115341719058897</v>
      </c>
    </row>
    <row r="52" spans="1:25" x14ac:dyDescent="0.3">
      <c r="A52" s="2">
        <v>1948</v>
      </c>
      <c r="B52">
        <v>6.3275710012091997</v>
      </c>
      <c r="C52">
        <v>6.2872661912376104</v>
      </c>
      <c r="D52">
        <v>6.4961875911618803</v>
      </c>
      <c r="E52">
        <v>5.8547281280892802</v>
      </c>
      <c r="F52">
        <v>4.5276007294003398</v>
      </c>
      <c r="G52">
        <v>3.4832356575408299</v>
      </c>
      <c r="H52">
        <v>2.88659500554611</v>
      </c>
      <c r="I52">
        <v>3.9709451511257998</v>
      </c>
      <c r="J52">
        <v>2.1479227038029101</v>
      </c>
      <c r="K52">
        <v>4.75517457169913</v>
      </c>
      <c r="L52">
        <v>4.4760772465356702</v>
      </c>
      <c r="M52">
        <v>0.69479985640999997</v>
      </c>
      <c r="N52">
        <v>5.5625815782390697</v>
      </c>
      <c r="O52">
        <v>2.0334458601930798</v>
      </c>
      <c r="P52">
        <v>4.7792124526748196</v>
      </c>
      <c r="Q52">
        <v>4.1870753361227697</v>
      </c>
      <c r="S52" s="5">
        <f t="shared" si="2"/>
        <v>4.2794011913117807</v>
      </c>
      <c r="T52" s="5">
        <f t="shared" si="3"/>
        <v>3.7043834884614237</v>
      </c>
      <c r="U52" s="7">
        <f t="shared" si="4"/>
        <v>4.6709770199053899</v>
      </c>
      <c r="V52" s="9"/>
      <c r="W52" s="5"/>
      <c r="X52" s="2">
        <f t="shared" si="5"/>
        <v>38.667890279230562</v>
      </c>
      <c r="Y52" s="7">
        <v>40.407758635829701</v>
      </c>
    </row>
    <row r="53" spans="1:25" x14ac:dyDescent="0.3">
      <c r="A53" s="2">
        <v>1949</v>
      </c>
      <c r="B53">
        <v>5.9871801111796099</v>
      </c>
      <c r="C53">
        <v>5.8871752925115102</v>
      </c>
      <c r="D53">
        <v>6.0070683825505897</v>
      </c>
      <c r="E53">
        <v>5.2846534041509203</v>
      </c>
      <c r="F53">
        <v>4.1189858532931698</v>
      </c>
      <c r="G53">
        <v>3.07237898356294</v>
      </c>
      <c r="H53">
        <v>2.6025653643150899</v>
      </c>
      <c r="I53">
        <v>3.0594056710805</v>
      </c>
      <c r="J53">
        <v>1.5825992923893299</v>
      </c>
      <c r="K53">
        <v>4.4143198802046602</v>
      </c>
      <c r="L53">
        <v>4.2060607968944401</v>
      </c>
      <c r="M53">
        <v>-2.5122236225703001E-2</v>
      </c>
      <c r="N53">
        <v>5.3857433852267604</v>
      </c>
      <c r="O53">
        <v>1.49783194163074</v>
      </c>
      <c r="P53">
        <v>4.5995257318836398</v>
      </c>
      <c r="Q53">
        <v>3.48482175232613</v>
      </c>
      <c r="S53" s="5">
        <f t="shared" si="2"/>
        <v>3.822824600435895</v>
      </c>
      <c r="T53" s="5">
        <f t="shared" si="3"/>
        <v>3.2293173273522133</v>
      </c>
      <c r="U53" s="7">
        <f t="shared" si="4"/>
        <v>4.4630855307083905</v>
      </c>
      <c r="V53" s="9"/>
      <c r="W53" s="5"/>
      <c r="X53" s="2">
        <f t="shared" si="5"/>
        <v>37.812771189233985</v>
      </c>
      <c r="Y53" s="7">
        <v>40.033553955275103</v>
      </c>
    </row>
    <row r="54" spans="1:25" x14ac:dyDescent="0.3">
      <c r="A54" s="2">
        <v>1950</v>
      </c>
      <c r="B54">
        <v>6.3409746641982103</v>
      </c>
      <c r="C54">
        <v>6.30551995847323</v>
      </c>
      <c r="D54">
        <v>6.4952645963185498</v>
      </c>
      <c r="E54">
        <v>5.78267310175994</v>
      </c>
      <c r="F54">
        <v>4.4470019657317899</v>
      </c>
      <c r="G54">
        <v>3.3952788882059601</v>
      </c>
      <c r="H54">
        <v>2.9320486865631499</v>
      </c>
      <c r="I54">
        <v>3.7668191524401098</v>
      </c>
      <c r="J54">
        <v>2.0428651353471898</v>
      </c>
      <c r="K54">
        <v>4.8830333223081599</v>
      </c>
      <c r="L54">
        <v>4.5599330673478997</v>
      </c>
      <c r="M54">
        <v>0.49724049731476699</v>
      </c>
      <c r="N54">
        <v>5.8437128385452404</v>
      </c>
      <c r="O54">
        <v>1.97438902103738</v>
      </c>
      <c r="P54">
        <v>5.10645588456768</v>
      </c>
      <c r="Q54">
        <v>4.0630297595507496</v>
      </c>
      <c r="S54" s="5">
        <f t="shared" si="2"/>
        <v>4.2772650337318749</v>
      </c>
      <c r="T54" s="5">
        <f t="shared" si="3"/>
        <v>3.7063653503673102</v>
      </c>
      <c r="U54" s="7">
        <f t="shared" si="4"/>
        <v>4.4485378853498343</v>
      </c>
      <c r="V54" s="9"/>
      <c r="W54" s="5"/>
      <c r="X54" s="2">
        <f t="shared" si="5"/>
        <v>38.671457630661159</v>
      </c>
      <c r="Y54" s="7">
        <v>40.007368193629702</v>
      </c>
    </row>
    <row r="55" spans="1:25" x14ac:dyDescent="0.3">
      <c r="A55" s="2">
        <v>1951</v>
      </c>
      <c r="B55">
        <v>7.4291854594668303</v>
      </c>
      <c r="C55">
        <v>7.3356806523995903</v>
      </c>
      <c r="D55">
        <v>7.3771390803464501</v>
      </c>
      <c r="E55">
        <v>6.6980951357786003</v>
      </c>
      <c r="F55">
        <v>5.65151691921566</v>
      </c>
      <c r="G55">
        <v>4.6695855261528303</v>
      </c>
      <c r="H55">
        <v>4.1112252437905097</v>
      </c>
      <c r="I55">
        <v>4.98061575007765</v>
      </c>
      <c r="J55">
        <v>2.6935991248039399</v>
      </c>
      <c r="K55">
        <v>5.8358670309798404</v>
      </c>
      <c r="L55">
        <v>5.5487510717078399</v>
      </c>
      <c r="M55">
        <v>1.6641672862719199</v>
      </c>
      <c r="N55">
        <v>6.7953602278069303</v>
      </c>
      <c r="O55">
        <v>3.1334373901968098</v>
      </c>
      <c r="P55">
        <v>6.0565081811930996</v>
      </c>
      <c r="Q55">
        <v>5.0771351993900504</v>
      </c>
      <c r="S55" s="5">
        <f t="shared" si="2"/>
        <v>5.3161168299736588</v>
      </c>
      <c r="T55" s="5">
        <f t="shared" si="3"/>
        <v>4.7097987222456856</v>
      </c>
      <c r="U55" s="7">
        <f t="shared" si="4"/>
        <v>5.4727721014478332</v>
      </c>
      <c r="V55" s="9"/>
      <c r="W55" s="5"/>
      <c r="X55" s="2">
        <f t="shared" si="5"/>
        <v>40.477637700042237</v>
      </c>
      <c r="Y55" s="7">
        <v>41.850989782606099</v>
      </c>
    </row>
    <row r="56" spans="1:25" x14ac:dyDescent="0.3">
      <c r="A56" s="2">
        <v>1952</v>
      </c>
      <c r="B56">
        <v>6.3071239423312102</v>
      </c>
      <c r="C56">
        <v>6.1773903660903704</v>
      </c>
      <c r="D56">
        <v>6.3016868903418697</v>
      </c>
      <c r="E56">
        <v>5.6730489396983801</v>
      </c>
      <c r="F56">
        <v>4.5192473566597302</v>
      </c>
      <c r="G56">
        <v>3.5010049746987599</v>
      </c>
      <c r="H56">
        <v>3.0372856145348099</v>
      </c>
      <c r="I56">
        <v>3.03148886805675</v>
      </c>
      <c r="J56">
        <v>1.4921318393587399</v>
      </c>
      <c r="K56">
        <v>4.4540614456426901</v>
      </c>
      <c r="L56">
        <v>4.2951401504662501</v>
      </c>
      <c r="M56">
        <v>0.38209980372034102</v>
      </c>
      <c r="N56">
        <v>5.4663281108512196</v>
      </c>
      <c r="O56">
        <v>1.9791391905539699</v>
      </c>
      <c r="P56">
        <v>4.5996345861362</v>
      </c>
      <c r="Q56">
        <v>3.7930329275912902</v>
      </c>
      <c r="S56" s="5">
        <f t="shared" si="2"/>
        <v>4.0631153129207869</v>
      </c>
      <c r="T56" s="5">
        <f t="shared" si="3"/>
        <v>3.4205151953475528</v>
      </c>
      <c r="U56" s="7">
        <f t="shared" si="4"/>
        <v>4.5970889006688349</v>
      </c>
      <c r="V56" s="9"/>
      <c r="W56" s="5"/>
      <c r="X56" s="2">
        <f t="shared" si="5"/>
        <v>38.156927351625598</v>
      </c>
      <c r="Y56" s="7">
        <v>40.274760021203903</v>
      </c>
    </row>
    <row r="57" spans="1:25" x14ac:dyDescent="0.3">
      <c r="A57" s="2">
        <v>1953</v>
      </c>
      <c r="B57">
        <v>7.3325390189477799</v>
      </c>
      <c r="C57">
        <v>7.2331608996815904</v>
      </c>
      <c r="D57">
        <v>7.3082356282293004</v>
      </c>
      <c r="E57">
        <v>6.5650252091557997</v>
      </c>
      <c r="F57">
        <v>5.3972891281218596</v>
      </c>
      <c r="G57">
        <v>4.3459750064431804</v>
      </c>
      <c r="H57">
        <v>3.7586251000835502</v>
      </c>
      <c r="I57">
        <v>5.1225780431538404</v>
      </c>
      <c r="J57">
        <v>2.92495835513285</v>
      </c>
      <c r="K57">
        <v>6.0041036101236704</v>
      </c>
      <c r="L57">
        <v>5.6738611419213099</v>
      </c>
      <c r="M57">
        <v>1.32099229554607</v>
      </c>
      <c r="N57">
        <v>6.9826833992788204</v>
      </c>
      <c r="O57">
        <v>2.83889656981377</v>
      </c>
      <c r="P57">
        <v>6.2081720298283702</v>
      </c>
      <c r="Q57">
        <v>5.0779445688202003</v>
      </c>
      <c r="S57" s="5">
        <f t="shared" si="2"/>
        <v>5.2559400002676231</v>
      </c>
      <c r="T57" s="5">
        <f t="shared" si="3"/>
        <v>4.7093172716068334</v>
      </c>
      <c r="U57" s="7">
        <f t="shared" si="4"/>
        <v>5.4599824608774448</v>
      </c>
      <c r="V57" s="9"/>
      <c r="W57" s="5"/>
      <c r="X57" s="2">
        <f t="shared" si="5"/>
        <v>40.476771088892299</v>
      </c>
      <c r="Y57" s="7">
        <v>41.8279684295794</v>
      </c>
    </row>
    <row r="58" spans="1:25" x14ac:dyDescent="0.3">
      <c r="A58" s="2">
        <v>1954</v>
      </c>
      <c r="B58">
        <v>7.7599110174668997</v>
      </c>
      <c r="C58">
        <v>7.6349571425212597</v>
      </c>
      <c r="D58">
        <v>7.6574917541791301</v>
      </c>
      <c r="E58">
        <v>6.93883043021372</v>
      </c>
      <c r="F58">
        <v>5.9443943644223101</v>
      </c>
      <c r="G58">
        <v>4.9174487695301998</v>
      </c>
      <c r="H58">
        <v>4.4397302647159496</v>
      </c>
      <c r="I58">
        <v>5.4441046992393396</v>
      </c>
      <c r="J58">
        <v>3.2841596493982301</v>
      </c>
      <c r="K58">
        <v>6.1906442586689803</v>
      </c>
      <c r="L58">
        <v>5.9582464512080398</v>
      </c>
      <c r="M58">
        <v>1.93770220769595</v>
      </c>
      <c r="N58">
        <v>7.1726718835634697</v>
      </c>
      <c r="O58">
        <v>3.3642776730942399</v>
      </c>
      <c r="P58">
        <v>6.33705872640218</v>
      </c>
      <c r="Q58">
        <v>5.5028385390974099</v>
      </c>
      <c r="S58" s="5">
        <f t="shared" si="2"/>
        <v>5.6552792394635807</v>
      </c>
      <c r="T58" s="5">
        <f t="shared" si="3"/>
        <v>5.0734681650237157</v>
      </c>
      <c r="U58" s="7">
        <f t="shared" si="4"/>
        <v>5.9852451966576661</v>
      </c>
      <c r="V58" s="9"/>
      <c r="W58" s="5"/>
      <c r="X58" s="2">
        <f t="shared" si="5"/>
        <v>41.132242697042685</v>
      </c>
      <c r="Y58" s="7">
        <v>42.773441353983799</v>
      </c>
    </row>
    <row r="59" spans="1:25" x14ac:dyDescent="0.3">
      <c r="A59" s="2">
        <v>1955</v>
      </c>
      <c r="B59">
        <v>6.1380815682345897</v>
      </c>
      <c r="C59">
        <v>6.0604489764122098</v>
      </c>
      <c r="D59">
        <v>6.1423511472466901</v>
      </c>
      <c r="E59">
        <v>5.4042558219334804</v>
      </c>
      <c r="F59">
        <v>4.2800001219527397</v>
      </c>
      <c r="G59">
        <v>3.25632872516162</v>
      </c>
      <c r="H59">
        <v>2.8484331274685801</v>
      </c>
      <c r="I59">
        <v>3.31432529704212</v>
      </c>
      <c r="J59">
        <v>1.6634356355728399</v>
      </c>
      <c r="K59">
        <v>4.2022550667802001</v>
      </c>
      <c r="L59">
        <v>4.0799662537770702</v>
      </c>
      <c r="M59">
        <v>0.33084474524406499</v>
      </c>
      <c r="N59">
        <v>5.1495772270307096</v>
      </c>
      <c r="O59">
        <v>1.8673558870407001</v>
      </c>
      <c r="P59">
        <v>4.1918167669479196</v>
      </c>
      <c r="Q59">
        <v>3.8191955514150102</v>
      </c>
      <c r="S59" s="5">
        <f t="shared" si="2"/>
        <v>3.9217919949537832</v>
      </c>
      <c r="T59" s="5">
        <f t="shared" si="3"/>
        <v>3.2951033954255968</v>
      </c>
      <c r="U59" s="7">
        <f t="shared" si="4"/>
        <v>4.2732906062775555</v>
      </c>
      <c r="V59" s="9"/>
      <c r="W59" s="5"/>
      <c r="X59" s="2">
        <f t="shared" si="5"/>
        <v>37.931186111766074</v>
      </c>
      <c r="Y59" s="7">
        <v>39.6919230912996</v>
      </c>
    </row>
    <row r="60" spans="1:25" x14ac:dyDescent="0.3">
      <c r="A60" s="2">
        <v>1956</v>
      </c>
      <c r="B60">
        <v>7.2284522333431802</v>
      </c>
      <c r="C60">
        <v>7.2605852058839302</v>
      </c>
      <c r="D60">
        <v>7.4740170431348796</v>
      </c>
      <c r="E60">
        <v>6.7149305043467198</v>
      </c>
      <c r="F60">
        <v>5.3148957051214598</v>
      </c>
      <c r="G60">
        <v>4.2198420593647397</v>
      </c>
      <c r="H60">
        <v>3.6993581082651499</v>
      </c>
      <c r="I60">
        <v>4.42872839221537</v>
      </c>
      <c r="J60">
        <v>2.4407650668764398</v>
      </c>
      <c r="K60">
        <v>5.2352817126962004</v>
      </c>
      <c r="L60">
        <v>5.1091945659918903</v>
      </c>
      <c r="M60">
        <v>1.2215391723184601</v>
      </c>
      <c r="N60">
        <v>6.3929346767279602</v>
      </c>
      <c r="O60">
        <v>2.7404626542753201</v>
      </c>
      <c r="P60">
        <v>5.5411379682561703</v>
      </c>
      <c r="Q60">
        <v>4.8559146285708499</v>
      </c>
      <c r="S60" s="5">
        <f t="shared" si="2"/>
        <v>4.9923774810867938</v>
      </c>
      <c r="T60" s="5">
        <f t="shared" si="3"/>
        <v>4.3172796074805255</v>
      </c>
      <c r="U60" s="7">
        <f t="shared" si="4"/>
        <v>5.4444945792814456</v>
      </c>
      <c r="V60" s="9"/>
      <c r="W60" s="5"/>
      <c r="X60" s="2">
        <f t="shared" si="5"/>
        <v>39.771103293464947</v>
      </c>
      <c r="Y60" s="7">
        <v>41.800090242706602</v>
      </c>
    </row>
    <row r="61" spans="1:25" x14ac:dyDescent="0.3">
      <c r="A61" s="2">
        <v>1957</v>
      </c>
      <c r="B61">
        <v>6.7297382289416197</v>
      </c>
      <c r="C61">
        <v>6.7610386672085303</v>
      </c>
      <c r="D61">
        <v>6.9263422789639</v>
      </c>
      <c r="E61">
        <v>6.2164206403575504</v>
      </c>
      <c r="F61">
        <v>4.9357223175976399</v>
      </c>
      <c r="G61">
        <v>3.8617900095573798</v>
      </c>
      <c r="H61">
        <v>3.1652744280148899</v>
      </c>
      <c r="I61">
        <v>3.8863940340198901</v>
      </c>
      <c r="J61">
        <v>2.0782721647252802</v>
      </c>
      <c r="K61">
        <v>4.7238662668389004</v>
      </c>
      <c r="L61">
        <v>4.4697823829846799</v>
      </c>
      <c r="M61">
        <v>0.625314470186625</v>
      </c>
      <c r="N61">
        <v>5.6494797063200402</v>
      </c>
      <c r="O61">
        <v>2.27968360887815</v>
      </c>
      <c r="P61">
        <v>4.8068698959807801</v>
      </c>
      <c r="Q61">
        <v>4.2936100609498498</v>
      </c>
      <c r="S61" s="5">
        <f t="shared" si="2"/>
        <v>4.4630999475953557</v>
      </c>
      <c r="T61" s="5">
        <f t="shared" si="3"/>
        <v>3.7707295546356852</v>
      </c>
      <c r="U61" s="7">
        <f t="shared" si="4"/>
        <v>4.883699888084946</v>
      </c>
      <c r="V61" s="9"/>
      <c r="W61" s="5"/>
      <c r="X61" s="2">
        <f t="shared" si="5"/>
        <v>38.787313198344236</v>
      </c>
      <c r="Y61" s="7">
        <v>40.790659798552902</v>
      </c>
    </row>
    <row r="62" spans="1:25" x14ac:dyDescent="0.3">
      <c r="A62" s="2">
        <v>1958</v>
      </c>
      <c r="B62">
        <v>7.1725264461073204</v>
      </c>
      <c r="C62">
        <v>7.1333257640877799</v>
      </c>
      <c r="D62">
        <v>7.2500794253937197</v>
      </c>
      <c r="E62">
        <v>6.4486615657806396</v>
      </c>
      <c r="F62">
        <v>5.2873570344219498</v>
      </c>
      <c r="G62">
        <v>4.1783908066684301</v>
      </c>
      <c r="H62">
        <v>3.6137064476535699</v>
      </c>
      <c r="I62">
        <v>4.1940029510079997</v>
      </c>
      <c r="J62">
        <v>2.44572804072132</v>
      </c>
      <c r="K62">
        <v>5.0375927996962</v>
      </c>
      <c r="L62">
        <v>4.8763946637715403</v>
      </c>
      <c r="M62">
        <v>1.0046329975128201</v>
      </c>
      <c r="N62">
        <v>6.0347730505956401</v>
      </c>
      <c r="O62">
        <v>2.57796187204857</v>
      </c>
      <c r="P62">
        <v>5.0826681600858103</v>
      </c>
      <c r="Q62">
        <v>4.5570354324497604</v>
      </c>
      <c r="S62" s="5">
        <f t="shared" si="2"/>
        <v>4.8059273411251935</v>
      </c>
      <c r="T62" s="5">
        <f t="shared" si="3"/>
        <v>4.1008197108055189</v>
      </c>
      <c r="U62" s="7">
        <f t="shared" si="4"/>
        <v>5.4072632234932216</v>
      </c>
      <c r="V62" s="9"/>
      <c r="W62" s="5"/>
      <c r="X62" s="2">
        <f t="shared" si="5"/>
        <v>39.381475479449932</v>
      </c>
      <c r="Y62" s="7">
        <v>41.733073802287798</v>
      </c>
    </row>
    <row r="63" spans="1:25" x14ac:dyDescent="0.3">
      <c r="A63" s="2">
        <v>1959</v>
      </c>
      <c r="B63">
        <v>7.4704910715965402</v>
      </c>
      <c r="C63">
        <v>7.4719418148471899</v>
      </c>
      <c r="D63">
        <v>7.6599806163409001</v>
      </c>
      <c r="E63">
        <v>6.8699066790433196</v>
      </c>
      <c r="F63">
        <v>5.5643832669274396</v>
      </c>
      <c r="G63">
        <v>4.4629649709348804</v>
      </c>
      <c r="H63">
        <v>3.8796221559994799</v>
      </c>
      <c r="I63">
        <v>5.0339236853873901</v>
      </c>
      <c r="J63">
        <v>2.8780414248166002</v>
      </c>
      <c r="K63">
        <v>5.7817963384602198</v>
      </c>
      <c r="L63">
        <v>5.4798500590128398</v>
      </c>
      <c r="M63">
        <v>1.74943936050755</v>
      </c>
      <c r="N63">
        <v>6.8519430931708598</v>
      </c>
      <c r="O63">
        <v>3.07307698106113</v>
      </c>
      <c r="P63">
        <v>6.1305524275727503</v>
      </c>
      <c r="Q63">
        <v>5.3117895913450699</v>
      </c>
      <c r="S63" s="5">
        <f t="shared" si="2"/>
        <v>5.3543564710640101</v>
      </c>
      <c r="T63" s="5">
        <f t="shared" si="3"/>
        <v>4.7566816401872938</v>
      </c>
      <c r="U63" s="7">
        <f t="shared" si="4"/>
        <v>5.8110891593655571</v>
      </c>
      <c r="V63" s="9"/>
      <c r="W63" s="5"/>
      <c r="X63" s="2">
        <f t="shared" si="5"/>
        <v>40.562026952337128</v>
      </c>
      <c r="Y63" s="7">
        <v>42.459960486858002</v>
      </c>
    </row>
    <row r="64" spans="1:25" x14ac:dyDescent="0.3">
      <c r="A64" s="2">
        <v>1960</v>
      </c>
      <c r="B64">
        <v>7.2126285993987702</v>
      </c>
      <c r="C64">
        <v>7.27319979960801</v>
      </c>
      <c r="D64">
        <v>7.4702238547997402</v>
      </c>
      <c r="E64">
        <v>6.6530288050734896</v>
      </c>
      <c r="F64">
        <v>5.3277707283939799</v>
      </c>
      <c r="G64">
        <v>4.1567817095850303</v>
      </c>
      <c r="H64">
        <v>3.6315144635940499</v>
      </c>
      <c r="I64">
        <v>4.7347090556973299</v>
      </c>
      <c r="J64">
        <v>2.6429815806977701</v>
      </c>
      <c r="K64">
        <v>5.4289459749404898</v>
      </c>
      <c r="L64">
        <v>5.1246187818832096</v>
      </c>
      <c r="M64">
        <v>1.37415628306201</v>
      </c>
      <c r="N64">
        <v>6.35088756403636</v>
      </c>
      <c r="O64">
        <v>2.6968495950021398</v>
      </c>
      <c r="P64">
        <v>5.3329517336491001</v>
      </c>
      <c r="Q64">
        <v>4.8874401624411199</v>
      </c>
      <c r="S64" s="5">
        <f t="shared" si="2"/>
        <v>5.0186680432414121</v>
      </c>
      <c r="T64" s="5">
        <f t="shared" si="3"/>
        <v>4.371618948301597</v>
      </c>
      <c r="U64" s="7">
        <f t="shared" si="4"/>
        <v>5.2553339637371685</v>
      </c>
      <c r="V64" s="9"/>
      <c r="W64" s="5"/>
      <c r="X64" s="2">
        <f t="shared" si="5"/>
        <v>39.868914106942874</v>
      </c>
      <c r="Y64" s="7">
        <v>41.459601134726903</v>
      </c>
    </row>
    <row r="65" spans="1:25" x14ac:dyDescent="0.3">
      <c r="A65" s="2">
        <v>1961</v>
      </c>
      <c r="B65">
        <v>7.6168132863632598</v>
      </c>
      <c r="C65">
        <v>7.6751180937845396</v>
      </c>
      <c r="D65">
        <v>7.8536623925378901</v>
      </c>
      <c r="E65">
        <v>7.0851356093197699</v>
      </c>
      <c r="F65">
        <v>5.7697081389492499</v>
      </c>
      <c r="G65">
        <v>4.6402692504125103</v>
      </c>
      <c r="H65">
        <v>3.8893277872098602</v>
      </c>
      <c r="I65">
        <v>5.1475471630488396</v>
      </c>
      <c r="J65">
        <v>3.0167948480338298</v>
      </c>
      <c r="K65">
        <v>5.7490007482162904</v>
      </c>
      <c r="L65">
        <v>5.453405287821</v>
      </c>
      <c r="M65">
        <v>1.6986224461908199</v>
      </c>
      <c r="N65">
        <v>6.7072777497849998</v>
      </c>
      <c r="O65">
        <v>3.1048168934371398</v>
      </c>
      <c r="P65">
        <v>5.7624785970335104</v>
      </c>
      <c r="Q65">
        <v>5.2592884089848804</v>
      </c>
      <c r="S65" s="5">
        <f t="shared" si="2"/>
        <v>5.4018291688205249</v>
      </c>
      <c r="T65" s="5">
        <f t="shared" si="3"/>
        <v>4.7388158645355567</v>
      </c>
      <c r="U65" s="7">
        <f t="shared" si="4"/>
        <v>5.6496765821633357</v>
      </c>
      <c r="V65" s="9"/>
      <c r="W65" s="5"/>
      <c r="X65" s="2">
        <f t="shared" si="5"/>
        <v>40.529868556164004</v>
      </c>
      <c r="Y65" s="7">
        <v>42.169417847894003</v>
      </c>
    </row>
    <row r="66" spans="1:25" x14ac:dyDescent="0.3">
      <c r="A66" s="2">
        <v>1962</v>
      </c>
      <c r="B66">
        <v>6.4263035741570897</v>
      </c>
      <c r="C66">
        <v>6.6080081511850199</v>
      </c>
      <c r="D66">
        <v>6.9350106404252196</v>
      </c>
      <c r="E66">
        <v>6.1943053255342502</v>
      </c>
      <c r="F66">
        <v>4.6824844314627496</v>
      </c>
      <c r="G66">
        <v>3.5110751557023598</v>
      </c>
      <c r="H66">
        <v>2.85919940308349</v>
      </c>
      <c r="I66">
        <v>3.563157904638</v>
      </c>
      <c r="J66">
        <v>1.4959253147856799</v>
      </c>
      <c r="K66">
        <v>4.5064475092169403</v>
      </c>
      <c r="L66">
        <v>4.2118103184112101</v>
      </c>
      <c r="M66">
        <v>0.480448004644211</v>
      </c>
      <c r="N66">
        <v>5.5128690575900103</v>
      </c>
      <c r="O66">
        <v>1.9293853518080999</v>
      </c>
      <c r="P66">
        <v>4.6356899209218501</v>
      </c>
      <c r="Q66">
        <v>4.0707014083862303</v>
      </c>
      <c r="S66" s="5">
        <f t="shared" si="2"/>
        <v>4.2264263419970254</v>
      </c>
      <c r="T66" s="5">
        <f t="shared" si="3"/>
        <v>3.5118396659495854</v>
      </c>
      <c r="U66" s="7">
        <f t="shared" si="4"/>
        <v>4.5565767181530017</v>
      </c>
      <c r="V66" s="9"/>
      <c r="W66" s="5"/>
      <c r="X66" s="2">
        <f t="shared" si="5"/>
        <v>38.321311398709256</v>
      </c>
      <c r="Y66" s="7">
        <v>40.201838092675402</v>
      </c>
    </row>
    <row r="67" spans="1:25" x14ac:dyDescent="0.3">
      <c r="A67" s="2">
        <v>1963</v>
      </c>
      <c r="B67">
        <v>7.6328348589270103</v>
      </c>
      <c r="C67">
        <v>7.6636063758641102</v>
      </c>
      <c r="D67">
        <v>7.7452907817004499</v>
      </c>
      <c r="E67">
        <v>6.9443639677273099</v>
      </c>
      <c r="F67">
        <v>5.7793196661831603</v>
      </c>
      <c r="G67">
        <v>4.6543993651050402</v>
      </c>
      <c r="H67">
        <v>3.9859655804830099</v>
      </c>
      <c r="I67">
        <v>5.3633143892026904</v>
      </c>
      <c r="J67">
        <v>3.7459434881602198</v>
      </c>
      <c r="K67">
        <v>5.8994867089676504</v>
      </c>
      <c r="L67">
        <v>5.6096632689645798</v>
      </c>
      <c r="M67">
        <v>1.9890444768618201</v>
      </c>
      <c r="N67">
        <v>6.7901266009840304</v>
      </c>
      <c r="O67">
        <v>3.1874801952545</v>
      </c>
      <c r="P67">
        <v>5.8070694606598101</v>
      </c>
      <c r="Q67">
        <v>5.3715318389134898</v>
      </c>
      <c r="S67" s="5">
        <f t="shared" si="2"/>
        <v>5.5105900639974292</v>
      </c>
      <c r="T67" s="5">
        <f t="shared" si="3"/>
        <v>4.9189817562449161</v>
      </c>
      <c r="U67" s="7">
        <f t="shared" si="4"/>
        <v>5.7015243906378883</v>
      </c>
      <c r="V67" s="9"/>
      <c r="W67" s="5"/>
      <c r="X67" s="2">
        <f t="shared" si="5"/>
        <v>40.854167161240852</v>
      </c>
      <c r="Y67" s="7">
        <v>42.262743903148198</v>
      </c>
    </row>
    <row r="68" spans="1:25" x14ac:dyDescent="0.3">
      <c r="A68" s="2">
        <v>1964</v>
      </c>
      <c r="B68">
        <v>5.8668025947007996</v>
      </c>
      <c r="C68">
        <v>5.93056676231447</v>
      </c>
      <c r="D68">
        <v>6.0767178789514</v>
      </c>
      <c r="E68">
        <v>5.3336982173346401</v>
      </c>
      <c r="F68">
        <v>4.1640050712504699</v>
      </c>
      <c r="G68">
        <v>3.12370662936747</v>
      </c>
      <c r="H68">
        <v>2.54289230248316</v>
      </c>
      <c r="I68">
        <v>3.4800437170951102</v>
      </c>
      <c r="J68">
        <v>1.6814973945907601</v>
      </c>
      <c r="K68">
        <v>4.0532485197802099</v>
      </c>
      <c r="L68">
        <v>3.7995471057833199</v>
      </c>
      <c r="M68">
        <v>0.48305608340299799</v>
      </c>
      <c r="N68">
        <v>4.9060766879326696</v>
      </c>
      <c r="O68">
        <v>1.6483868826282499</v>
      </c>
      <c r="P68">
        <v>3.9049332256281302</v>
      </c>
      <c r="Q68">
        <v>3.72750494447715</v>
      </c>
      <c r="S68" s="5">
        <f t="shared" si="2"/>
        <v>3.7951677511075621</v>
      </c>
      <c r="T68" s="5">
        <f t="shared" si="3"/>
        <v>3.1739785939462086</v>
      </c>
      <c r="U68" s="7">
        <f t="shared" si="4"/>
        <v>3.9392567002379448</v>
      </c>
      <c r="V68" s="9"/>
      <c r="W68" s="5"/>
      <c r="X68" s="2">
        <f t="shared" si="5"/>
        <v>37.713161469103177</v>
      </c>
      <c r="Y68" s="7">
        <v>39.090662060428301</v>
      </c>
    </row>
    <row r="69" spans="1:25" x14ac:dyDescent="0.3">
      <c r="A69" s="2">
        <v>1965</v>
      </c>
      <c r="B69">
        <v>5.9420943295302502</v>
      </c>
      <c r="C69">
        <v>6.0015428458174602</v>
      </c>
      <c r="D69">
        <v>6.1559935285620497</v>
      </c>
      <c r="E69">
        <v>5.3782056922781996</v>
      </c>
      <c r="F69">
        <v>4.1048619237664603</v>
      </c>
      <c r="G69">
        <v>3.0511333413320001</v>
      </c>
      <c r="H69">
        <v>2.31584219214034</v>
      </c>
      <c r="I69">
        <v>3.8706488308841198</v>
      </c>
      <c r="J69">
        <v>1.7424674086374801</v>
      </c>
      <c r="K69">
        <v>4.7945455531551397</v>
      </c>
      <c r="L69">
        <v>4.2169831471900396</v>
      </c>
      <c r="M69">
        <v>0.20352738671106799</v>
      </c>
      <c r="N69">
        <v>5.4957852043517601</v>
      </c>
      <c r="O69">
        <v>1.51608686904385</v>
      </c>
      <c r="P69">
        <v>4.5538102790100901</v>
      </c>
      <c r="Q69">
        <v>3.8534455612914198</v>
      </c>
      <c r="S69" s="5">
        <f t="shared" si="2"/>
        <v>3.9498108808563588</v>
      </c>
      <c r="T69" s="5">
        <f t="shared" si="3"/>
        <v>3.4107613054262882</v>
      </c>
      <c r="U69" s="7">
        <f t="shared" si="4"/>
        <v>4.1016093868909449</v>
      </c>
      <c r="V69" s="9"/>
      <c r="W69" s="5"/>
      <c r="X69" s="2">
        <f t="shared" ref="X69:X100" si="6">(T69*(9/5))+32</f>
        <v>38.139370349767319</v>
      </c>
      <c r="Y69" s="7">
        <v>39.3828968964037</v>
      </c>
    </row>
    <row r="70" spans="1:25" x14ac:dyDescent="0.3">
      <c r="A70" s="2">
        <v>1966</v>
      </c>
      <c r="B70">
        <v>7.5927541869960402</v>
      </c>
      <c r="C70">
        <v>7.6668640417595402</v>
      </c>
      <c r="D70">
        <v>7.77790097929027</v>
      </c>
      <c r="E70">
        <v>6.9798241118862201</v>
      </c>
      <c r="F70">
        <v>5.7763097403800696</v>
      </c>
      <c r="G70">
        <v>4.6764309385051499</v>
      </c>
      <c r="H70">
        <v>4.0508931776432098</v>
      </c>
      <c r="I70">
        <v>4.2428496478355102</v>
      </c>
      <c r="J70">
        <v>2.4253266233899802</v>
      </c>
      <c r="K70">
        <v>5.34680290744729</v>
      </c>
      <c r="L70">
        <v>5.1885208302981196</v>
      </c>
      <c r="M70">
        <v>1.48193727062173</v>
      </c>
      <c r="N70">
        <v>6.5569408180778996</v>
      </c>
      <c r="O70">
        <v>2.9742032338495101</v>
      </c>
      <c r="P70">
        <v>5.45947113902601</v>
      </c>
      <c r="Q70">
        <v>5.0689278486656804</v>
      </c>
      <c r="S70" s="5">
        <f t="shared" ref="S70:S128" si="7">AVERAGE(B70:Q70)</f>
        <v>5.2041223434795141</v>
      </c>
      <c r="T70" s="5">
        <f t="shared" ref="T70:T128" si="8">(B70*$B$3)+(C70*$C$3)+(D70*$D$3)+(E70*$E$3)+(F70*$F$3)+(G70*$G$3)+(H70*$H$3)+(I70*$I$3)+(J70*$J$3)+(K70*$K$3)+(L70*$L$3)+(M70*$M$3)+(N70*$N$3)+(O70*$O$3)+(P70*$P$3)+(Q70*$Q$3)</f>
        <v>4.4613952452152024</v>
      </c>
      <c r="U70" s="7">
        <f t="shared" ref="U70:U126" si="9">(Y70-32)*(5/9)</f>
        <v>5.6131848252823877</v>
      </c>
      <c r="V70" s="9"/>
      <c r="W70" s="5"/>
      <c r="X70" s="2">
        <f t="shared" si="6"/>
        <v>40.030511441387361</v>
      </c>
      <c r="Y70" s="7">
        <v>42.103732685508298</v>
      </c>
    </row>
    <row r="71" spans="1:25" x14ac:dyDescent="0.3">
      <c r="A71" s="2">
        <v>1967</v>
      </c>
      <c r="B71">
        <v>6.62314020117668</v>
      </c>
      <c r="C71">
        <v>6.6295529587628099</v>
      </c>
      <c r="D71">
        <v>6.68803191184998</v>
      </c>
      <c r="E71">
        <v>5.9960485337531697</v>
      </c>
      <c r="F71">
        <v>4.9210331071321303</v>
      </c>
      <c r="G71">
        <v>3.9245636815894098</v>
      </c>
      <c r="H71">
        <v>3.20299119757335</v>
      </c>
      <c r="I71">
        <v>4.4091287518200799</v>
      </c>
      <c r="J71">
        <v>2.5917997454943702</v>
      </c>
      <c r="K71">
        <v>5.2786172098492896</v>
      </c>
      <c r="L71">
        <v>4.8774916123037499</v>
      </c>
      <c r="M71">
        <v>0.99617325835032</v>
      </c>
      <c r="N71">
        <v>6.2607249658401702</v>
      </c>
      <c r="O71">
        <v>2.4637513010469201</v>
      </c>
      <c r="P71">
        <v>5.3369042914207698</v>
      </c>
      <c r="Q71">
        <v>4.6792972271573099</v>
      </c>
      <c r="S71" s="5">
        <f t="shared" si="7"/>
        <v>4.6799531221950312</v>
      </c>
      <c r="T71" s="5">
        <f t="shared" si="8"/>
        <v>4.1479983115972949</v>
      </c>
      <c r="U71" s="7">
        <f t="shared" si="9"/>
        <v>4.9456129610210002</v>
      </c>
      <c r="V71" s="9"/>
      <c r="W71" s="5"/>
      <c r="X71" s="2">
        <f t="shared" si="6"/>
        <v>39.46639696087513</v>
      </c>
      <c r="Y71" s="7">
        <v>40.9021033298378</v>
      </c>
    </row>
    <row r="72" spans="1:25" x14ac:dyDescent="0.3">
      <c r="A72" s="2">
        <v>1968</v>
      </c>
      <c r="B72">
        <v>6.30069032914</v>
      </c>
      <c r="C72">
        <v>6.3625260286969603</v>
      </c>
      <c r="D72">
        <v>6.6164092774925303</v>
      </c>
      <c r="E72">
        <v>5.9698206117424997</v>
      </c>
      <c r="F72">
        <v>4.6621547124750604</v>
      </c>
      <c r="G72">
        <v>3.6277564347115998</v>
      </c>
      <c r="H72">
        <v>3.0023955992051499</v>
      </c>
      <c r="I72">
        <v>4.0913439916619803</v>
      </c>
      <c r="J72">
        <v>1.98169827330959</v>
      </c>
      <c r="K72">
        <v>4.5913391764698099</v>
      </c>
      <c r="L72">
        <v>4.2891505753082004</v>
      </c>
      <c r="M72">
        <v>0.64568071287186402</v>
      </c>
      <c r="N72">
        <v>5.6835543399300104</v>
      </c>
      <c r="O72">
        <v>2.0748889003295101</v>
      </c>
      <c r="P72">
        <v>4.8571368669225903</v>
      </c>
      <c r="Q72">
        <v>4.1914508707218303</v>
      </c>
      <c r="S72" s="5">
        <f t="shared" si="7"/>
        <v>4.3092497938118246</v>
      </c>
      <c r="T72" s="5">
        <f t="shared" si="8"/>
        <v>3.6653574100390722</v>
      </c>
      <c r="U72" s="7">
        <f t="shared" si="9"/>
        <v>4.5201814110022243</v>
      </c>
      <c r="V72" s="9"/>
      <c r="W72" s="5"/>
      <c r="X72" s="2">
        <f t="shared" si="6"/>
        <v>38.597643338070327</v>
      </c>
      <c r="Y72" s="7">
        <v>40.136326539804003</v>
      </c>
    </row>
    <row r="73" spans="1:25" x14ac:dyDescent="0.3">
      <c r="A73" s="2">
        <v>1969</v>
      </c>
      <c r="B73">
        <v>6.6832001751416303</v>
      </c>
      <c r="C73">
        <v>6.7575475823389297</v>
      </c>
      <c r="D73">
        <v>7.0478141137181902</v>
      </c>
      <c r="E73">
        <v>6.3508967693537901</v>
      </c>
      <c r="F73">
        <v>4.9039721586932901</v>
      </c>
      <c r="G73">
        <v>3.8492852942584301</v>
      </c>
      <c r="H73">
        <v>3.1074766861249299</v>
      </c>
      <c r="I73">
        <v>4.3356054456266602</v>
      </c>
      <c r="J73">
        <v>2.3036841621137598</v>
      </c>
      <c r="K73">
        <v>5.3054088167948299</v>
      </c>
      <c r="L73">
        <v>4.8202339949673201</v>
      </c>
      <c r="M73">
        <v>0.98838489725165202</v>
      </c>
      <c r="N73">
        <v>6.20139194514653</v>
      </c>
      <c r="O73">
        <v>2.36177277565002</v>
      </c>
      <c r="P73">
        <v>5.3379825742277403</v>
      </c>
      <c r="Q73">
        <v>4.5994054500370796</v>
      </c>
      <c r="S73" s="5">
        <f t="shared" si="7"/>
        <v>4.6846289275902997</v>
      </c>
      <c r="T73" s="5">
        <f t="shared" si="8"/>
        <v>4.1018201939735857</v>
      </c>
      <c r="U73" s="7">
        <f t="shared" si="9"/>
        <v>4.9520919450448906</v>
      </c>
      <c r="V73" s="9"/>
      <c r="W73" s="5"/>
      <c r="X73" s="2">
        <f t="shared" si="6"/>
        <v>39.383276349152453</v>
      </c>
      <c r="Y73" s="7">
        <v>40.913765501080803</v>
      </c>
    </row>
    <row r="74" spans="1:25" x14ac:dyDescent="0.3">
      <c r="A74" s="2">
        <v>1970</v>
      </c>
      <c r="B74">
        <v>6.0620055995575397</v>
      </c>
      <c r="C74">
        <v>6.1680095537068098</v>
      </c>
      <c r="D74">
        <v>6.4713452840912797</v>
      </c>
      <c r="E74">
        <v>5.8201449173362301</v>
      </c>
      <c r="F74">
        <v>4.3704310756840101</v>
      </c>
      <c r="G74">
        <v>3.3296489073805602</v>
      </c>
      <c r="H74">
        <v>2.5155966466420301</v>
      </c>
      <c r="I74">
        <v>4.7329266152969804</v>
      </c>
      <c r="J74">
        <v>2.4697073425077001</v>
      </c>
      <c r="K74">
        <v>5.1302471626703099</v>
      </c>
      <c r="L74">
        <v>4.6114455441905999</v>
      </c>
      <c r="M74">
        <v>0.70520738869497201</v>
      </c>
      <c r="N74">
        <v>5.7973867386987799</v>
      </c>
      <c r="O74">
        <v>1.8973538666555301</v>
      </c>
      <c r="P74">
        <v>4.9459094019785299</v>
      </c>
      <c r="Q74">
        <v>4.27775407474335</v>
      </c>
      <c r="S74" s="5">
        <f t="shared" si="7"/>
        <v>4.3315700074897014</v>
      </c>
      <c r="T74" s="5">
        <f t="shared" si="8"/>
        <v>3.8418632062178815</v>
      </c>
      <c r="U74" s="7">
        <f t="shared" si="9"/>
        <v>4.50625251908611</v>
      </c>
      <c r="V74" s="9"/>
      <c r="W74" s="5"/>
      <c r="X74" s="2">
        <f t="shared" si="6"/>
        <v>38.915353771192187</v>
      </c>
      <c r="Y74" s="7">
        <v>40.111254534354998</v>
      </c>
    </row>
    <row r="75" spans="1:25" x14ac:dyDescent="0.3">
      <c r="A75" s="2">
        <v>1971</v>
      </c>
      <c r="B75">
        <v>5.9975950079421496</v>
      </c>
      <c r="C75">
        <v>6.1313154461449102</v>
      </c>
      <c r="D75">
        <v>6.4519620735351397</v>
      </c>
      <c r="E75">
        <v>5.7980341486734899</v>
      </c>
      <c r="F75">
        <v>4.23798743666035</v>
      </c>
      <c r="G75">
        <v>3.1617382621111898</v>
      </c>
      <c r="H75">
        <v>2.2573285896484201</v>
      </c>
      <c r="I75">
        <v>4.0598738219639996</v>
      </c>
      <c r="J75">
        <v>2.16484481578004</v>
      </c>
      <c r="K75">
        <v>4.7296619122363097</v>
      </c>
      <c r="L75">
        <v>4.1953914292871097</v>
      </c>
      <c r="M75">
        <v>0.50502767889467004</v>
      </c>
      <c r="N75">
        <v>5.5140029172374803</v>
      </c>
      <c r="O75">
        <v>1.7674349779543801</v>
      </c>
      <c r="P75">
        <v>4.7047188023181796</v>
      </c>
      <c r="Q75">
        <v>4.1004702737886598</v>
      </c>
      <c r="S75" s="5">
        <f t="shared" si="7"/>
        <v>4.1110867246360305</v>
      </c>
      <c r="T75" s="5">
        <f t="shared" si="8"/>
        <v>3.5721663127628354</v>
      </c>
      <c r="U75" s="7">
        <f t="shared" si="9"/>
        <v>4.447168605069499</v>
      </c>
      <c r="V75" s="9"/>
      <c r="W75" s="5"/>
      <c r="X75" s="2">
        <f t="shared" si="6"/>
        <v>38.429899362973103</v>
      </c>
      <c r="Y75" s="7">
        <v>40.004903489125098</v>
      </c>
    </row>
    <row r="76" spans="1:25" x14ac:dyDescent="0.3">
      <c r="A76" s="2">
        <v>1972</v>
      </c>
      <c r="B76">
        <v>6.2774287123497698</v>
      </c>
      <c r="C76">
        <v>6.3442435173389002</v>
      </c>
      <c r="D76">
        <v>6.5769949988589298</v>
      </c>
      <c r="E76">
        <v>5.9328474728136102</v>
      </c>
      <c r="F76">
        <v>4.5838083686724396</v>
      </c>
      <c r="G76">
        <v>3.5766606389906199</v>
      </c>
      <c r="H76">
        <v>2.6832899405249502</v>
      </c>
      <c r="I76">
        <v>3.9343302885039901</v>
      </c>
      <c r="J76">
        <v>2.13912103215202</v>
      </c>
      <c r="K76">
        <v>4.88075944178743</v>
      </c>
      <c r="L76">
        <v>4.4459367632214501</v>
      </c>
      <c r="M76">
        <v>0.75527968351306796</v>
      </c>
      <c r="N76">
        <v>5.7423382541521004</v>
      </c>
      <c r="O76">
        <v>2.1120844123467699</v>
      </c>
      <c r="P76">
        <v>4.8826558381481897</v>
      </c>
      <c r="Q76">
        <v>4.3939769756598599</v>
      </c>
      <c r="S76" s="5">
        <f t="shared" si="7"/>
        <v>4.3288597711896308</v>
      </c>
      <c r="T76" s="5">
        <f t="shared" si="8"/>
        <v>3.7814928002871597</v>
      </c>
      <c r="U76" s="7">
        <f t="shared" si="9"/>
        <v>4.6906012460197228</v>
      </c>
      <c r="V76" s="9"/>
      <c r="W76" s="5"/>
      <c r="X76" s="2">
        <f t="shared" si="6"/>
        <v>38.806687040516891</v>
      </c>
      <c r="Y76" s="7">
        <v>40.443082242835501</v>
      </c>
    </row>
    <row r="77" spans="1:25" x14ac:dyDescent="0.3">
      <c r="A77" s="2">
        <v>1973</v>
      </c>
      <c r="B77">
        <v>5.6932025868598704</v>
      </c>
      <c r="C77">
        <v>5.7531039883012598</v>
      </c>
      <c r="D77">
        <v>6.0122985510181097</v>
      </c>
      <c r="E77">
        <v>5.3711278164223497</v>
      </c>
      <c r="F77">
        <v>4.0167345798178902</v>
      </c>
      <c r="G77">
        <v>2.9811609496809002</v>
      </c>
      <c r="H77">
        <v>2.1134819507598901</v>
      </c>
      <c r="I77">
        <v>2.7076298930057101</v>
      </c>
      <c r="J77">
        <v>1.37008418644944</v>
      </c>
      <c r="K77">
        <v>3.70770051512</v>
      </c>
      <c r="L77">
        <v>3.3775295195514201</v>
      </c>
      <c r="M77">
        <v>-0.48143824616523601</v>
      </c>
      <c r="N77">
        <v>4.5872767761961999</v>
      </c>
      <c r="O77">
        <v>1.2267234227428701</v>
      </c>
      <c r="P77">
        <v>3.7939810151923199</v>
      </c>
      <c r="Q77">
        <v>3.2757628264492502</v>
      </c>
      <c r="S77" s="5">
        <f t="shared" si="7"/>
        <v>3.469147520712641</v>
      </c>
      <c r="T77" s="5">
        <f t="shared" si="8"/>
        <v>2.766271638919334</v>
      </c>
      <c r="U77" s="7">
        <f t="shared" si="9"/>
        <v>4.0190823732128873</v>
      </c>
      <c r="V77" s="9"/>
      <c r="W77" s="5"/>
      <c r="X77" s="2">
        <f t="shared" si="6"/>
        <v>36.979288950054801</v>
      </c>
      <c r="Y77" s="7">
        <v>39.234348271783198</v>
      </c>
    </row>
    <row r="78" spans="1:25" x14ac:dyDescent="0.3">
      <c r="A78" s="2">
        <v>1974</v>
      </c>
      <c r="B78">
        <v>6.9393326865483598</v>
      </c>
      <c r="C78">
        <v>6.9872446037318596</v>
      </c>
      <c r="D78">
        <v>7.2594680639162501</v>
      </c>
      <c r="E78">
        <v>6.5665345636132599</v>
      </c>
      <c r="F78">
        <v>5.16373139440197</v>
      </c>
      <c r="G78">
        <v>4.0903104089710798</v>
      </c>
      <c r="H78">
        <v>3.2847781138877301</v>
      </c>
      <c r="I78">
        <v>4.1543549874874</v>
      </c>
      <c r="J78">
        <v>2.4562325053019101</v>
      </c>
      <c r="K78">
        <v>5.0456535675754299</v>
      </c>
      <c r="L78">
        <v>4.7019692790018404</v>
      </c>
      <c r="M78">
        <v>0.77482950001546802</v>
      </c>
      <c r="N78">
        <v>6.0653918971754104</v>
      </c>
      <c r="O78">
        <v>2.3730946302413898</v>
      </c>
      <c r="P78">
        <v>5.1850134784228201</v>
      </c>
      <c r="Q78">
        <v>4.5238542349371196</v>
      </c>
      <c r="S78" s="5">
        <f t="shared" si="7"/>
        <v>4.7232371197018308</v>
      </c>
      <c r="T78" s="5">
        <f t="shared" si="8"/>
        <v>4.0313113638664548</v>
      </c>
      <c r="U78" s="7">
        <f t="shared" si="9"/>
        <v>5.1319609233978349</v>
      </c>
      <c r="V78" s="9"/>
      <c r="W78" s="5"/>
      <c r="X78" s="2">
        <f t="shared" si="6"/>
        <v>39.256360454959619</v>
      </c>
      <c r="Y78" s="7">
        <v>41.237529662116103</v>
      </c>
    </row>
    <row r="79" spans="1:25" x14ac:dyDescent="0.3">
      <c r="A79" s="2">
        <v>1975</v>
      </c>
      <c r="B79">
        <v>5.59524798099309</v>
      </c>
      <c r="C79">
        <v>5.6423530210370902</v>
      </c>
      <c r="D79">
        <v>5.9369056047642097</v>
      </c>
      <c r="E79">
        <v>5.2642874686685301</v>
      </c>
      <c r="F79">
        <v>3.8487927157584898</v>
      </c>
      <c r="G79">
        <v>2.7750099247449098</v>
      </c>
      <c r="H79">
        <v>1.9505921585919099</v>
      </c>
      <c r="I79">
        <v>3.28482782906049</v>
      </c>
      <c r="J79">
        <v>1.57576409235393</v>
      </c>
      <c r="K79">
        <v>3.95892989839593</v>
      </c>
      <c r="L79">
        <v>3.63005595533815</v>
      </c>
      <c r="M79">
        <v>-0.192639792292085</v>
      </c>
      <c r="N79">
        <v>4.8080601618714498</v>
      </c>
      <c r="O79">
        <v>1.17148622290729</v>
      </c>
      <c r="P79">
        <v>4.0548764717191004</v>
      </c>
      <c r="Q79">
        <v>3.2849379173696902</v>
      </c>
      <c r="S79" s="5">
        <f t="shared" si="7"/>
        <v>3.5368429769551359</v>
      </c>
      <c r="T79" s="5">
        <f t="shared" si="8"/>
        <v>2.9150256962741619</v>
      </c>
      <c r="U79" s="7">
        <f t="shared" si="9"/>
        <v>3.8403320819170541</v>
      </c>
      <c r="V79" s="9"/>
      <c r="W79" s="5"/>
      <c r="X79" s="2">
        <f t="shared" si="6"/>
        <v>37.24704625329349</v>
      </c>
      <c r="Y79" s="7">
        <v>38.912597747450697</v>
      </c>
    </row>
    <row r="80" spans="1:25" x14ac:dyDescent="0.3">
      <c r="A80" s="2">
        <v>1976</v>
      </c>
      <c r="B80">
        <v>6.4124173567594704</v>
      </c>
      <c r="C80">
        <v>6.3617229670123301</v>
      </c>
      <c r="D80">
        <v>6.5977581778510697</v>
      </c>
      <c r="E80">
        <v>5.9401257800274196</v>
      </c>
      <c r="F80">
        <v>4.7098431092142397</v>
      </c>
      <c r="G80">
        <v>3.7348624519963098</v>
      </c>
      <c r="H80">
        <v>3.1070034222199001</v>
      </c>
      <c r="I80">
        <v>4.04651204223841</v>
      </c>
      <c r="J80">
        <v>2.1783740231003899</v>
      </c>
      <c r="K80">
        <v>4.6662738036588198</v>
      </c>
      <c r="L80">
        <v>4.3657873028614498</v>
      </c>
      <c r="M80">
        <v>0.80368599735322499</v>
      </c>
      <c r="N80">
        <v>5.5906042557596498</v>
      </c>
      <c r="O80">
        <v>2.1281014613277902</v>
      </c>
      <c r="P80">
        <v>4.7264457374322602</v>
      </c>
      <c r="Q80">
        <v>4.1550240920541102</v>
      </c>
      <c r="S80" s="5">
        <f t="shared" si="7"/>
        <v>4.3452838738041768</v>
      </c>
      <c r="T80" s="5">
        <f t="shared" si="8"/>
        <v>3.7124871773063428</v>
      </c>
      <c r="U80" s="7">
        <f t="shared" si="9"/>
        <v>4.6125060770111679</v>
      </c>
      <c r="V80" s="9"/>
      <c r="W80" s="5"/>
      <c r="X80" s="2">
        <f t="shared" si="6"/>
        <v>38.682476919151419</v>
      </c>
      <c r="Y80" s="7">
        <v>40.302510938620102</v>
      </c>
    </row>
    <row r="81" spans="1:25" x14ac:dyDescent="0.3">
      <c r="A81" s="2">
        <v>1977</v>
      </c>
      <c r="B81">
        <v>7.0075615641189</v>
      </c>
      <c r="C81">
        <v>6.8836302198775803</v>
      </c>
      <c r="D81">
        <v>6.96313371331724</v>
      </c>
      <c r="E81">
        <v>6.2558370087244697</v>
      </c>
      <c r="F81">
        <v>5.2182637658837701</v>
      </c>
      <c r="G81">
        <v>4.2558996229955603</v>
      </c>
      <c r="H81">
        <v>3.5649727013013099</v>
      </c>
      <c r="I81">
        <v>4.70831448803209</v>
      </c>
      <c r="J81">
        <v>2.7536653263928099</v>
      </c>
      <c r="K81">
        <v>5.1864869576610904</v>
      </c>
      <c r="L81">
        <v>4.8686915306808203</v>
      </c>
      <c r="M81">
        <v>1.0914191041294801</v>
      </c>
      <c r="N81">
        <v>6.1141316982164797</v>
      </c>
      <c r="O81">
        <v>2.52416757100249</v>
      </c>
      <c r="P81">
        <v>5.2920113994650597</v>
      </c>
      <c r="Q81">
        <v>4.5595140511042498</v>
      </c>
      <c r="S81" s="5">
        <f t="shared" si="7"/>
        <v>4.8279812951814618</v>
      </c>
      <c r="T81" s="5">
        <f t="shared" si="8"/>
        <v>4.1820681521739207</v>
      </c>
      <c r="U81" s="7">
        <f t="shared" si="9"/>
        <v>5.0770725353567769</v>
      </c>
      <c r="V81" s="9"/>
      <c r="W81" s="5"/>
      <c r="X81" s="2">
        <f t="shared" si="6"/>
        <v>39.527722673913061</v>
      </c>
      <c r="Y81" s="7">
        <v>41.138730563642198</v>
      </c>
    </row>
    <row r="82" spans="1:25" x14ac:dyDescent="0.3">
      <c r="A82" s="2">
        <v>1978</v>
      </c>
      <c r="B82">
        <v>7.2335282528237101</v>
      </c>
      <c r="C82">
        <v>7.2817006930912997</v>
      </c>
      <c r="D82">
        <v>7.6670715230784996</v>
      </c>
      <c r="E82">
        <v>6.9492492770495504</v>
      </c>
      <c r="F82">
        <v>5.3421984898921604</v>
      </c>
      <c r="G82">
        <v>4.2415449836993098</v>
      </c>
      <c r="H82">
        <v>3.5552021574892398</v>
      </c>
      <c r="I82">
        <v>5.0721228522644104</v>
      </c>
      <c r="J82">
        <v>3.0419861254626799</v>
      </c>
      <c r="K82">
        <v>5.5532898016171899</v>
      </c>
      <c r="L82">
        <v>5.2031267861797401</v>
      </c>
      <c r="M82">
        <v>1.6397129091497999</v>
      </c>
      <c r="N82">
        <v>6.4975522359756601</v>
      </c>
      <c r="O82">
        <v>2.8849907466809999</v>
      </c>
      <c r="P82">
        <v>5.7049922150291801</v>
      </c>
      <c r="Q82">
        <v>5.1724580585140103</v>
      </c>
      <c r="S82" s="5">
        <f t="shared" si="7"/>
        <v>5.1900454442498392</v>
      </c>
      <c r="T82" s="5">
        <f t="shared" si="8"/>
        <v>4.588170342565558</v>
      </c>
      <c r="U82" s="7">
        <f t="shared" si="9"/>
        <v>5.4853989542519468</v>
      </c>
      <c r="V82" s="9"/>
      <c r="W82" s="5"/>
      <c r="X82" s="2">
        <f t="shared" si="6"/>
        <v>40.258706616618007</v>
      </c>
      <c r="Y82" s="7">
        <v>41.873718117653503</v>
      </c>
    </row>
    <row r="83" spans="1:25" x14ac:dyDescent="0.3">
      <c r="A83" s="2">
        <v>1979</v>
      </c>
      <c r="B83">
        <v>6.3259021386708296</v>
      </c>
      <c r="C83">
        <v>6.3163961132911801</v>
      </c>
      <c r="D83">
        <v>6.6488391077681799</v>
      </c>
      <c r="E83">
        <v>5.9527557617997502</v>
      </c>
      <c r="F83">
        <v>4.57972122381811</v>
      </c>
      <c r="G83">
        <v>3.5335120524445598</v>
      </c>
      <c r="H83">
        <v>2.9550419118306399</v>
      </c>
      <c r="I83">
        <v>3.59036459073628</v>
      </c>
      <c r="J83">
        <v>1.73720818953971</v>
      </c>
      <c r="K83">
        <v>4.28875935028677</v>
      </c>
      <c r="L83">
        <v>4.0367708552373598</v>
      </c>
      <c r="M83">
        <v>0.74740959650849603</v>
      </c>
      <c r="N83">
        <v>5.3865440404578404</v>
      </c>
      <c r="O83">
        <v>2.0268032451198499</v>
      </c>
      <c r="P83">
        <v>4.5627387376680799</v>
      </c>
      <c r="Q83">
        <v>4.19114916259295</v>
      </c>
      <c r="S83" s="5">
        <f t="shared" si="7"/>
        <v>4.1799947548606609</v>
      </c>
      <c r="T83" s="5">
        <f t="shared" si="8"/>
        <v>3.5120852799282622</v>
      </c>
      <c r="U83" s="7">
        <f t="shared" si="9"/>
        <v>4.4217098807961683</v>
      </c>
      <c r="V83" s="9"/>
      <c r="W83" s="5"/>
      <c r="X83" s="2">
        <f t="shared" si="6"/>
        <v>38.321753503870873</v>
      </c>
      <c r="Y83" s="7">
        <v>39.959077785433102</v>
      </c>
    </row>
    <row r="84" spans="1:25" x14ac:dyDescent="0.3">
      <c r="A84" s="2">
        <v>1980</v>
      </c>
      <c r="B84">
        <v>6.8333512696900698</v>
      </c>
      <c r="C84">
        <v>6.8208836625671099</v>
      </c>
      <c r="D84">
        <v>7.09749071975875</v>
      </c>
      <c r="E84">
        <v>6.4273698219184698</v>
      </c>
      <c r="F84">
        <v>5.1112097628780999</v>
      </c>
      <c r="G84">
        <v>4.0380104669456296</v>
      </c>
      <c r="H84">
        <v>3.4054148509854199</v>
      </c>
      <c r="I84">
        <v>4.6119718493008204</v>
      </c>
      <c r="J84">
        <v>2.4166053413042001</v>
      </c>
      <c r="K84">
        <v>5.1897145258924304</v>
      </c>
      <c r="L84">
        <v>4.9018079416999401</v>
      </c>
      <c r="M84">
        <v>1.33100437727131</v>
      </c>
      <c r="N84">
        <v>5.9793423601512696</v>
      </c>
      <c r="O84">
        <v>2.60992945901683</v>
      </c>
      <c r="P84">
        <v>5.1491864356186898</v>
      </c>
      <c r="Q84">
        <v>4.7650949896358998</v>
      </c>
      <c r="S84" s="5">
        <f t="shared" si="7"/>
        <v>4.7930242396646827</v>
      </c>
      <c r="T84" s="5">
        <f t="shared" si="8"/>
        <v>4.1922692030392144</v>
      </c>
      <c r="U84" s="7">
        <f t="shared" si="9"/>
        <v>5.0724686192565551</v>
      </c>
      <c r="V84" s="9"/>
      <c r="W84" s="5"/>
      <c r="X84" s="2">
        <f t="shared" si="6"/>
        <v>39.546084565470586</v>
      </c>
      <c r="Y84" s="7">
        <v>41.130443514661799</v>
      </c>
    </row>
    <row r="85" spans="1:25" x14ac:dyDescent="0.3">
      <c r="A85" s="2">
        <v>1981</v>
      </c>
      <c r="B85">
        <v>8.2719381833729706</v>
      </c>
      <c r="C85">
        <v>8.1944363166208092</v>
      </c>
      <c r="D85">
        <v>8.2867466497094693</v>
      </c>
      <c r="E85">
        <v>7.6757641214622199</v>
      </c>
      <c r="F85">
        <v>6.6833775758539202</v>
      </c>
      <c r="G85">
        <v>5.7087180098442198</v>
      </c>
      <c r="H85">
        <v>5.0130182307060496</v>
      </c>
      <c r="I85">
        <v>6.1878026488709104</v>
      </c>
      <c r="J85">
        <v>4.0365068291964601</v>
      </c>
      <c r="K85">
        <v>6.34978861972077</v>
      </c>
      <c r="L85">
        <v>6.2178628331994403</v>
      </c>
      <c r="M85">
        <v>2.8959341323538998</v>
      </c>
      <c r="N85">
        <v>7.1982688753572202</v>
      </c>
      <c r="O85">
        <v>4.2185012340545702</v>
      </c>
      <c r="P85">
        <v>6.4014308433826699</v>
      </c>
      <c r="Q85">
        <v>6.3439547019462097</v>
      </c>
      <c r="S85" s="5">
        <f t="shared" si="7"/>
        <v>6.2302531128532372</v>
      </c>
      <c r="T85" s="5">
        <f t="shared" si="8"/>
        <v>5.6228293662979674</v>
      </c>
      <c r="U85" s="7">
        <f t="shared" si="9"/>
        <v>6.4527091605718336</v>
      </c>
      <c r="V85" s="9"/>
      <c r="W85" s="5"/>
      <c r="X85" s="2">
        <f t="shared" si="6"/>
        <v>42.121092859336343</v>
      </c>
      <c r="Y85" s="7">
        <v>43.614876489029299</v>
      </c>
    </row>
    <row r="86" spans="1:25" x14ac:dyDescent="0.3">
      <c r="A86" s="2">
        <v>1982</v>
      </c>
      <c r="B86">
        <v>6.4523817247723896</v>
      </c>
      <c r="C86">
        <v>6.4817889437283602</v>
      </c>
      <c r="D86">
        <v>6.7372947885565599</v>
      </c>
      <c r="E86">
        <v>6.05223590807147</v>
      </c>
      <c r="F86">
        <v>4.6394652188640704</v>
      </c>
      <c r="G86">
        <v>3.5513207879784998</v>
      </c>
      <c r="H86">
        <v>2.73530119053305</v>
      </c>
      <c r="I86">
        <v>4.4270615453589404</v>
      </c>
      <c r="J86">
        <v>2.0398647432457899</v>
      </c>
      <c r="K86">
        <v>4.9011093714465801</v>
      </c>
      <c r="L86">
        <v>4.4093457277506998</v>
      </c>
      <c r="M86">
        <v>0.77227256918606701</v>
      </c>
      <c r="N86">
        <v>5.7685343642558804</v>
      </c>
      <c r="O86">
        <v>2.1915242900587102</v>
      </c>
      <c r="P86">
        <v>5.07418138964535</v>
      </c>
      <c r="Q86">
        <v>4.5013350836218198</v>
      </c>
      <c r="S86" s="5">
        <f t="shared" si="7"/>
        <v>4.4209386029421394</v>
      </c>
      <c r="T86" s="5">
        <f t="shared" si="8"/>
        <v>3.8361918102899089</v>
      </c>
      <c r="U86" s="7">
        <f t="shared" si="9"/>
        <v>4.8122953618943338</v>
      </c>
      <c r="V86" s="9"/>
      <c r="W86" s="5"/>
      <c r="X86" s="2">
        <f t="shared" si="6"/>
        <v>38.905145258521834</v>
      </c>
      <c r="Y86" s="7">
        <v>40.662131651409801</v>
      </c>
    </row>
    <row r="87" spans="1:25" x14ac:dyDescent="0.3">
      <c r="A87" s="2">
        <v>1983</v>
      </c>
      <c r="B87">
        <v>6.3658155843003197</v>
      </c>
      <c r="C87">
        <v>6.4228444101059301</v>
      </c>
      <c r="D87">
        <v>6.7183800780609904</v>
      </c>
      <c r="E87">
        <v>6.1074578477911796</v>
      </c>
      <c r="F87">
        <v>4.6597111732992396</v>
      </c>
      <c r="G87">
        <v>3.5315418589604999</v>
      </c>
      <c r="H87">
        <v>2.68911924950064</v>
      </c>
      <c r="I87">
        <v>4.0941510388296001</v>
      </c>
      <c r="J87">
        <v>2.02587846958474</v>
      </c>
      <c r="K87">
        <v>4.8387196978477602</v>
      </c>
      <c r="L87">
        <v>4.4287765594990303</v>
      </c>
      <c r="M87">
        <v>0.75960957681479502</v>
      </c>
      <c r="N87">
        <v>5.6827139576820498</v>
      </c>
      <c r="O87">
        <v>2.1468790812035099</v>
      </c>
      <c r="P87">
        <v>4.9548313359691702</v>
      </c>
      <c r="Q87">
        <v>4.3317173062683398</v>
      </c>
      <c r="S87" s="5">
        <f t="shared" si="7"/>
        <v>4.359884201607362</v>
      </c>
      <c r="T87" s="5">
        <f t="shared" si="8"/>
        <v>3.7727088584767063</v>
      </c>
      <c r="U87" s="7">
        <f t="shared" si="9"/>
        <v>4.6777653530464436</v>
      </c>
      <c r="V87" s="9"/>
      <c r="W87" s="5"/>
      <c r="X87" s="2">
        <f t="shared" si="6"/>
        <v>38.790875945258072</v>
      </c>
      <c r="Y87" s="7">
        <v>40.419977635483598</v>
      </c>
    </row>
    <row r="88" spans="1:25" x14ac:dyDescent="0.3">
      <c r="A88" s="2">
        <v>1984</v>
      </c>
      <c r="B88">
        <v>6.0256586086228898</v>
      </c>
      <c r="C88">
        <v>6.0354729338747601</v>
      </c>
      <c r="D88">
        <v>6.2572598788744802</v>
      </c>
      <c r="E88">
        <v>5.7182867149186301</v>
      </c>
      <c r="F88">
        <v>4.4714890874800099</v>
      </c>
      <c r="G88">
        <v>3.4165797481119999</v>
      </c>
      <c r="H88">
        <v>2.6468327319035798</v>
      </c>
      <c r="I88">
        <v>3.3589704645787402</v>
      </c>
      <c r="J88">
        <v>1.58891791593833</v>
      </c>
      <c r="K88">
        <v>4.1428769774775702</v>
      </c>
      <c r="L88">
        <v>3.7819357950830699</v>
      </c>
      <c r="M88">
        <v>0.43821616576668998</v>
      </c>
      <c r="N88">
        <v>4.9932034339735401</v>
      </c>
      <c r="O88">
        <v>1.8452799613358499</v>
      </c>
      <c r="P88">
        <v>4.2565123328094296</v>
      </c>
      <c r="Q88">
        <v>3.9809486234122899</v>
      </c>
      <c r="S88" s="5">
        <f t="shared" si="7"/>
        <v>3.9349025858851161</v>
      </c>
      <c r="T88" s="5">
        <f t="shared" si="8"/>
        <v>3.2879459944077656</v>
      </c>
      <c r="U88" s="7">
        <f t="shared" si="9"/>
        <v>4.4277065227124428</v>
      </c>
      <c r="V88" s="9"/>
      <c r="W88" s="5"/>
      <c r="X88" s="2">
        <f t="shared" si="6"/>
        <v>37.918302789933975</v>
      </c>
      <c r="Y88" s="7">
        <v>39.969871740882397</v>
      </c>
    </row>
    <row r="89" spans="1:25" x14ac:dyDescent="0.3">
      <c r="A89" s="2">
        <v>1985</v>
      </c>
      <c r="B89">
        <v>6.4277087440229401</v>
      </c>
      <c r="C89">
        <v>6.5266434243229599</v>
      </c>
      <c r="D89">
        <v>6.7393418654187096</v>
      </c>
      <c r="E89">
        <v>6.1852350096996496</v>
      </c>
      <c r="F89">
        <v>4.84625671269142</v>
      </c>
      <c r="G89">
        <v>3.7247563744244498</v>
      </c>
      <c r="H89">
        <v>2.89461552129216</v>
      </c>
      <c r="I89">
        <v>2.7560735408573902</v>
      </c>
      <c r="J89">
        <v>1.25903483323038</v>
      </c>
      <c r="K89">
        <v>3.55086839819608</v>
      </c>
      <c r="L89">
        <v>3.29908713118671</v>
      </c>
      <c r="M89">
        <v>0.22292003533611601</v>
      </c>
      <c r="N89">
        <v>4.6330605621207201</v>
      </c>
      <c r="O89">
        <v>1.69773999379106</v>
      </c>
      <c r="P89">
        <v>3.93031286344136</v>
      </c>
      <c r="Q89">
        <v>3.9641962743785299</v>
      </c>
      <c r="S89" s="5">
        <f t="shared" si="7"/>
        <v>3.9161157052756645</v>
      </c>
      <c r="T89" s="5">
        <f t="shared" si="8"/>
        <v>3.04699909564515</v>
      </c>
      <c r="U89" s="7">
        <f t="shared" si="9"/>
        <v>4.5383187531583902</v>
      </c>
      <c r="V89" s="9"/>
      <c r="W89" s="5"/>
      <c r="X89" s="2">
        <f t="shared" si="6"/>
        <v>37.484598372161273</v>
      </c>
      <c r="Y89" s="7">
        <v>40.168973755685101</v>
      </c>
    </row>
    <row r="90" spans="1:25" x14ac:dyDescent="0.3">
      <c r="A90" s="2">
        <v>1986</v>
      </c>
      <c r="B90">
        <v>7.6643474099162496</v>
      </c>
      <c r="C90">
        <v>7.8215355993950197</v>
      </c>
      <c r="D90">
        <v>7.9014023461570497</v>
      </c>
      <c r="E90">
        <v>7.4544550486419299</v>
      </c>
      <c r="F90">
        <v>6.08135508119243</v>
      </c>
      <c r="G90">
        <v>4.8444108035466398</v>
      </c>
      <c r="H90">
        <v>3.9446452421684799</v>
      </c>
      <c r="I90">
        <v>4.3221023344013796</v>
      </c>
      <c r="J90">
        <v>2.2718798846822899</v>
      </c>
      <c r="K90">
        <v>4.8286460647844303</v>
      </c>
      <c r="L90">
        <v>4.3719836640031398</v>
      </c>
      <c r="M90">
        <v>1.49104009621764</v>
      </c>
      <c r="N90">
        <v>5.8599335928485798</v>
      </c>
      <c r="O90">
        <v>2.9322602618230502</v>
      </c>
      <c r="P90">
        <v>5.3456349967277204</v>
      </c>
      <c r="Q90">
        <v>5.3209455202703602</v>
      </c>
      <c r="S90" s="5">
        <f t="shared" si="7"/>
        <v>5.1535361216735236</v>
      </c>
      <c r="T90" s="5">
        <f t="shared" si="8"/>
        <v>4.2863874521141145</v>
      </c>
      <c r="U90" s="7">
        <f t="shared" si="9"/>
        <v>5.7802480443244439</v>
      </c>
      <c r="V90" s="9"/>
      <c r="W90" s="5"/>
      <c r="X90" s="2">
        <f t="shared" si="6"/>
        <v>39.715497413805409</v>
      </c>
      <c r="Y90" s="7">
        <v>42.404446479783999</v>
      </c>
    </row>
    <row r="91" spans="1:25" x14ac:dyDescent="0.3">
      <c r="A91" s="2">
        <v>1987</v>
      </c>
      <c r="B91">
        <v>7.4068674141413497</v>
      </c>
      <c r="C91">
        <v>7.4281893901628999</v>
      </c>
      <c r="D91">
        <v>7.65466089411958</v>
      </c>
      <c r="E91">
        <v>7.0480660728395801</v>
      </c>
      <c r="F91">
        <v>5.7752207674392304</v>
      </c>
      <c r="G91">
        <v>4.7048305315514103</v>
      </c>
      <c r="H91">
        <v>3.8521620012309499</v>
      </c>
      <c r="I91">
        <v>4.5057270664058304</v>
      </c>
      <c r="J91">
        <v>2.7416100436694002</v>
      </c>
      <c r="K91">
        <v>4.6609197927664399</v>
      </c>
      <c r="L91">
        <v>4.3984337875287798</v>
      </c>
      <c r="M91">
        <v>1.1582816933932401</v>
      </c>
      <c r="N91">
        <v>5.5274471456873897</v>
      </c>
      <c r="O91">
        <v>2.7137066377352399</v>
      </c>
      <c r="P91">
        <v>4.6466236455799796</v>
      </c>
      <c r="Q91">
        <v>5.09893122960443</v>
      </c>
      <c r="S91" s="5">
        <f t="shared" si="7"/>
        <v>4.9576048821159837</v>
      </c>
      <c r="T91" s="5">
        <f t="shared" si="8"/>
        <v>4.1266224821395969</v>
      </c>
      <c r="U91" s="7">
        <f t="shared" si="9"/>
        <v>5.5272886898679454</v>
      </c>
      <c r="V91" s="9"/>
      <c r="W91" s="5"/>
      <c r="X91" s="2">
        <f t="shared" si="6"/>
        <v>39.427920467851273</v>
      </c>
      <c r="Y91" s="7">
        <v>41.949119641762302</v>
      </c>
    </row>
    <row r="92" spans="1:25" x14ac:dyDescent="0.3">
      <c r="A92" s="2">
        <v>1988</v>
      </c>
      <c r="B92">
        <v>7.7790540797544301</v>
      </c>
      <c r="C92">
        <v>7.9888872667088497</v>
      </c>
      <c r="D92">
        <v>8.1568637045680497</v>
      </c>
      <c r="E92">
        <v>7.6777231092030398</v>
      </c>
      <c r="F92">
        <v>6.2056921319883402</v>
      </c>
      <c r="G92">
        <v>4.9718600671148003</v>
      </c>
      <c r="H92">
        <v>4.0531281441287303</v>
      </c>
      <c r="I92">
        <v>4.3403349013927901</v>
      </c>
      <c r="J92">
        <v>2.8279689654626501</v>
      </c>
      <c r="K92">
        <v>5.03997072300624</v>
      </c>
      <c r="L92">
        <v>4.8152152977354499</v>
      </c>
      <c r="M92">
        <v>1.2767261935632099</v>
      </c>
      <c r="N92">
        <v>5.8251648496408901</v>
      </c>
      <c r="O92">
        <v>2.6407625271322899</v>
      </c>
      <c r="P92">
        <v>5.0571299895562802</v>
      </c>
      <c r="Q92">
        <v>5.0255934977140599</v>
      </c>
      <c r="S92" s="5">
        <f t="shared" si="7"/>
        <v>5.2301297155418798</v>
      </c>
      <c r="T92" s="5">
        <f t="shared" si="8"/>
        <v>4.3306555495576768</v>
      </c>
      <c r="U92" s="7">
        <f t="shared" si="9"/>
        <v>5.8179374184484445</v>
      </c>
      <c r="V92" s="9"/>
      <c r="W92" s="5"/>
      <c r="X92" s="2">
        <f t="shared" si="6"/>
        <v>39.795179989203817</v>
      </c>
      <c r="Y92" s="7">
        <v>42.4722873532072</v>
      </c>
    </row>
    <row r="93" spans="1:25" x14ac:dyDescent="0.3">
      <c r="A93" s="2">
        <v>1989</v>
      </c>
      <c r="B93">
        <v>7.49692755104744</v>
      </c>
      <c r="C93">
        <v>7.7252450763362699</v>
      </c>
      <c r="D93">
        <v>7.9087148548805599</v>
      </c>
      <c r="E93">
        <v>7.4445817098225602</v>
      </c>
      <c r="F93">
        <v>6.03663977988779</v>
      </c>
      <c r="G93">
        <v>4.8887066159346304</v>
      </c>
      <c r="H93">
        <v>3.9441524020613099</v>
      </c>
      <c r="I93">
        <v>4.4696700110010896</v>
      </c>
      <c r="J93">
        <v>2.6108543480912298</v>
      </c>
      <c r="K93">
        <v>4.9397420799895499</v>
      </c>
      <c r="L93">
        <v>4.5783620577560704</v>
      </c>
      <c r="M93">
        <v>1.53217034927786</v>
      </c>
      <c r="N93">
        <v>5.7655594851872696</v>
      </c>
      <c r="O93">
        <v>2.9098450322673699</v>
      </c>
      <c r="P93">
        <v>5.1079827403369</v>
      </c>
      <c r="Q93">
        <v>5.1314491464667098</v>
      </c>
      <c r="S93" s="5">
        <f t="shared" si="7"/>
        <v>5.1556627025215382</v>
      </c>
      <c r="T93" s="5">
        <f t="shared" si="8"/>
        <v>4.3171645038235864</v>
      </c>
      <c r="U93" s="7">
        <f t="shared" si="9"/>
        <v>5.7188810129186667</v>
      </c>
      <c r="V93" s="9"/>
      <c r="W93" s="5"/>
      <c r="X93" s="2">
        <f t="shared" si="6"/>
        <v>39.770896106882454</v>
      </c>
      <c r="Y93" s="7">
        <v>42.2939858232536</v>
      </c>
    </row>
    <row r="94" spans="1:25" x14ac:dyDescent="0.3">
      <c r="A94" s="2">
        <v>1990</v>
      </c>
      <c r="B94">
        <v>7.8738231155970304</v>
      </c>
      <c r="C94">
        <v>8.18429977861169</v>
      </c>
      <c r="D94">
        <v>8.3989679754596906</v>
      </c>
      <c r="E94">
        <v>7.9727895599521998</v>
      </c>
      <c r="F94">
        <v>6.4360267648958196</v>
      </c>
      <c r="G94">
        <v>5.2342311489663702</v>
      </c>
      <c r="H94">
        <v>4.3823024785682003</v>
      </c>
      <c r="I94">
        <v>4.9737855571692098</v>
      </c>
      <c r="J94">
        <v>2.9109844508236402</v>
      </c>
      <c r="K94">
        <v>5.2847320630942303</v>
      </c>
      <c r="L94">
        <v>4.7793790888500496</v>
      </c>
      <c r="M94">
        <v>1.86496116363839</v>
      </c>
      <c r="N94">
        <v>6.0555401822883796</v>
      </c>
      <c r="O94">
        <v>3.2334246494998702</v>
      </c>
      <c r="P94">
        <v>5.1260783200394604</v>
      </c>
      <c r="Q94">
        <v>5.6239521273194901</v>
      </c>
      <c r="S94" s="5">
        <f t="shared" si="7"/>
        <v>5.5209549015483566</v>
      </c>
      <c r="T94" s="5">
        <f t="shared" si="8"/>
        <v>4.6441543535560266</v>
      </c>
      <c r="U94" s="7">
        <f t="shared" si="9"/>
        <v>6.0250918691507769</v>
      </c>
      <c r="V94" s="9"/>
      <c r="W94" s="5"/>
      <c r="X94" s="2">
        <f t="shared" si="6"/>
        <v>40.359477836400849</v>
      </c>
      <c r="Y94" s="7">
        <v>42.845165364471399</v>
      </c>
    </row>
    <row r="95" spans="1:25" x14ac:dyDescent="0.3">
      <c r="A95" s="2">
        <v>1991</v>
      </c>
      <c r="B95">
        <v>6.4553500342042502</v>
      </c>
      <c r="C95">
        <v>6.5859876418766898</v>
      </c>
      <c r="D95">
        <v>6.92867691614856</v>
      </c>
      <c r="E95">
        <v>6.3490487204839097</v>
      </c>
      <c r="F95">
        <v>4.9647793145212402</v>
      </c>
      <c r="G95">
        <v>3.9535411072103899</v>
      </c>
      <c r="H95">
        <v>3.1878042642384399</v>
      </c>
      <c r="I95">
        <v>3.89628672469152</v>
      </c>
      <c r="J95">
        <v>2.0191916482089298</v>
      </c>
      <c r="K95">
        <v>4.3180272771887598</v>
      </c>
      <c r="L95">
        <v>3.8086523790882101</v>
      </c>
      <c r="M95">
        <v>0.75407371325035599</v>
      </c>
      <c r="N95">
        <v>4.8732601390513697</v>
      </c>
      <c r="O95">
        <v>2.1803970666780899</v>
      </c>
      <c r="P95">
        <v>3.9973752109971801</v>
      </c>
      <c r="Q95">
        <v>4.5059201217677503</v>
      </c>
      <c r="S95" s="5">
        <f t="shared" si="7"/>
        <v>4.2986482674753521</v>
      </c>
      <c r="T95" s="5">
        <f t="shared" si="8"/>
        <v>3.5604871367788795</v>
      </c>
      <c r="U95" s="7">
        <f t="shared" si="9"/>
        <v>4.802392220742111</v>
      </c>
      <c r="V95" s="9"/>
      <c r="W95" s="5"/>
      <c r="X95" s="2">
        <f t="shared" si="6"/>
        <v>38.408876846201984</v>
      </c>
      <c r="Y95" s="7">
        <v>40.644305997335799</v>
      </c>
    </row>
    <row r="96" spans="1:25" x14ac:dyDescent="0.3">
      <c r="A96" s="2">
        <v>1992</v>
      </c>
      <c r="B96">
        <v>8.00353978631275</v>
      </c>
      <c r="C96">
        <v>8.1682598042032097</v>
      </c>
      <c r="D96">
        <v>8.4307004372930301</v>
      </c>
      <c r="E96">
        <v>7.8332608488739499</v>
      </c>
      <c r="F96">
        <v>6.61870868105055</v>
      </c>
      <c r="G96">
        <v>5.6566459660321602</v>
      </c>
      <c r="H96">
        <v>4.9354348127307803</v>
      </c>
      <c r="I96">
        <v>5.0266254729911903</v>
      </c>
      <c r="J96">
        <v>3.1277250115520498</v>
      </c>
      <c r="K96">
        <v>5.8147582796102002</v>
      </c>
      <c r="L96">
        <v>5.3258899362360799</v>
      </c>
      <c r="M96">
        <v>2.1544359538073099</v>
      </c>
      <c r="N96">
        <v>6.4966255862856199</v>
      </c>
      <c r="O96">
        <v>3.6982415105964299</v>
      </c>
      <c r="P96">
        <v>5.6815187351299796</v>
      </c>
      <c r="Q96">
        <v>5.9853486366610698</v>
      </c>
      <c r="S96" s="5">
        <f t="shared" si="7"/>
        <v>5.8098574662103983</v>
      </c>
      <c r="T96" s="5">
        <f t="shared" si="8"/>
        <v>5.033153701420404</v>
      </c>
      <c r="U96" s="7">
        <f t="shared" si="9"/>
        <v>6.3959732733183321</v>
      </c>
      <c r="V96" s="9"/>
      <c r="W96" s="5"/>
      <c r="X96" s="2">
        <f t="shared" si="6"/>
        <v>41.059676662556726</v>
      </c>
      <c r="Y96" s="7">
        <v>43.512751891972997</v>
      </c>
    </row>
    <row r="97" spans="1:25" x14ac:dyDescent="0.3">
      <c r="A97" s="2">
        <v>1993</v>
      </c>
      <c r="B97">
        <v>5.8664978347412502</v>
      </c>
      <c r="C97">
        <v>5.9883437130549204</v>
      </c>
      <c r="D97">
        <v>6.3658470904990399</v>
      </c>
      <c r="E97">
        <v>5.7214388246405603</v>
      </c>
      <c r="F97">
        <v>4.4935482475855597</v>
      </c>
      <c r="G97">
        <v>3.6364453234084699</v>
      </c>
      <c r="H97">
        <v>2.8889482077262199</v>
      </c>
      <c r="I97">
        <v>2.8838594905317598</v>
      </c>
      <c r="J97">
        <v>1.03412849184585</v>
      </c>
      <c r="K97">
        <v>3.63226406476269</v>
      </c>
      <c r="L97">
        <v>3.2107954728276802</v>
      </c>
      <c r="M97">
        <v>0.58898324149928705</v>
      </c>
      <c r="N97">
        <v>4.3730117905629804</v>
      </c>
      <c r="O97">
        <v>2.0244529854761399</v>
      </c>
      <c r="P97">
        <v>3.80785317404629</v>
      </c>
      <c r="Q97">
        <v>4.1114172638279101</v>
      </c>
      <c r="S97" s="5">
        <f t="shared" si="7"/>
        <v>3.7892397010647882</v>
      </c>
      <c r="T97" s="5">
        <f t="shared" si="8"/>
        <v>3.0684044198289233</v>
      </c>
      <c r="U97" s="7">
        <f t="shared" si="9"/>
        <v>4.31057568294578</v>
      </c>
      <c r="V97" s="9"/>
      <c r="W97" s="5"/>
      <c r="X97" s="2">
        <f t="shared" si="6"/>
        <v>37.523127955692061</v>
      </c>
      <c r="Y97" s="7">
        <v>39.759036229302403</v>
      </c>
    </row>
    <row r="98" spans="1:25" x14ac:dyDescent="0.3">
      <c r="A98" s="2">
        <v>1994</v>
      </c>
      <c r="B98">
        <v>7.7605914563348897</v>
      </c>
      <c r="C98">
        <v>7.8678103234669896</v>
      </c>
      <c r="D98">
        <v>8.27817635503534</v>
      </c>
      <c r="E98">
        <v>7.5715903393209798</v>
      </c>
      <c r="F98">
        <v>6.2179853246636601</v>
      </c>
      <c r="G98">
        <v>5.2569802326698802</v>
      </c>
      <c r="H98">
        <v>4.5677368963213798</v>
      </c>
      <c r="I98">
        <v>5.3024830489125998</v>
      </c>
      <c r="J98">
        <v>3.0854660831085599</v>
      </c>
      <c r="K98">
        <v>6.0858052116550798</v>
      </c>
      <c r="L98">
        <v>5.5307870167575501</v>
      </c>
      <c r="M98">
        <v>1.9879900081516899</v>
      </c>
      <c r="N98">
        <v>6.9484742762291303</v>
      </c>
      <c r="O98">
        <v>3.5934717201206801</v>
      </c>
      <c r="P98">
        <v>6.3144957950670397</v>
      </c>
      <c r="Q98">
        <v>5.8345416565464001</v>
      </c>
      <c r="S98" s="5">
        <f t="shared" si="7"/>
        <v>5.7627741090226161</v>
      </c>
      <c r="T98" s="5">
        <f t="shared" si="8"/>
        <v>5.088377895010348</v>
      </c>
      <c r="U98" s="7">
        <f t="shared" si="9"/>
        <v>6.1623834216964433</v>
      </c>
      <c r="V98" s="9"/>
      <c r="W98" s="5"/>
      <c r="X98" s="2">
        <f t="shared" si="6"/>
        <v>41.159080211018626</v>
      </c>
      <c r="Y98" s="7">
        <v>43.092290159053597</v>
      </c>
    </row>
    <row r="99" spans="1:25" x14ac:dyDescent="0.3">
      <c r="A99" s="2">
        <v>1995</v>
      </c>
      <c r="B99">
        <v>6.5597800457314301</v>
      </c>
      <c r="C99">
        <v>6.6372248087843797</v>
      </c>
      <c r="D99">
        <v>7.0693079265829599</v>
      </c>
      <c r="E99">
        <v>6.37944329307504</v>
      </c>
      <c r="F99">
        <v>5.0563692953488601</v>
      </c>
      <c r="G99">
        <v>4.0920942593927299</v>
      </c>
      <c r="H99">
        <v>3.3707954736400998</v>
      </c>
      <c r="I99">
        <v>4.0351964888507403</v>
      </c>
      <c r="J99">
        <v>1.8387587317048699</v>
      </c>
      <c r="K99">
        <v>4.7513058985749304</v>
      </c>
      <c r="L99">
        <v>4.2478681448387796</v>
      </c>
      <c r="M99">
        <v>0.93885358882277004</v>
      </c>
      <c r="N99">
        <v>5.7362917382423202</v>
      </c>
      <c r="O99">
        <v>2.47056243125706</v>
      </c>
      <c r="P99">
        <v>4.9508354615930399</v>
      </c>
      <c r="Q99">
        <v>4.8093475177679998</v>
      </c>
      <c r="S99" s="5">
        <f t="shared" si="7"/>
        <v>4.5590021940130008</v>
      </c>
      <c r="T99" s="5">
        <f t="shared" si="8"/>
        <v>3.886910214903172</v>
      </c>
      <c r="U99" s="7">
        <f t="shared" si="9"/>
        <v>5.0494479769715008</v>
      </c>
      <c r="V99" s="9"/>
      <c r="W99" s="5"/>
      <c r="X99" s="2">
        <f t="shared" si="6"/>
        <v>38.996438386825709</v>
      </c>
      <c r="Y99" s="7">
        <v>41.089006358548701</v>
      </c>
    </row>
    <row r="100" spans="1:25" x14ac:dyDescent="0.3">
      <c r="A100" s="2">
        <v>1996</v>
      </c>
      <c r="B100">
        <v>7.5747668945072801</v>
      </c>
      <c r="C100">
        <v>7.6986566886224397</v>
      </c>
      <c r="D100">
        <v>8.0691533770229</v>
      </c>
      <c r="E100">
        <v>7.4149435809075497</v>
      </c>
      <c r="F100">
        <v>6.1584697713861702</v>
      </c>
      <c r="G100">
        <v>5.1848273772359503</v>
      </c>
      <c r="H100">
        <v>4.4554945132771504</v>
      </c>
      <c r="I100">
        <v>4.9348615209261597</v>
      </c>
      <c r="J100">
        <v>2.3756258089319302</v>
      </c>
      <c r="K100">
        <v>5.58183394299179</v>
      </c>
      <c r="L100">
        <v>4.9163746055358102</v>
      </c>
      <c r="M100">
        <v>1.7778673279480901</v>
      </c>
      <c r="N100">
        <v>6.6625893358650101</v>
      </c>
      <c r="O100">
        <v>3.3612544334651302</v>
      </c>
      <c r="P100">
        <v>5.8190454103541196</v>
      </c>
      <c r="Q100">
        <v>5.6623175585530499</v>
      </c>
      <c r="S100" s="5">
        <f t="shared" si="7"/>
        <v>5.478005134220659</v>
      </c>
      <c r="T100" s="5">
        <f t="shared" si="8"/>
        <v>4.7134289586128162</v>
      </c>
      <c r="U100" s="7">
        <f t="shared" si="9"/>
        <v>6.0378235481795572</v>
      </c>
      <c r="V100" s="9"/>
      <c r="W100" s="5"/>
      <c r="X100" s="2">
        <f t="shared" si="6"/>
        <v>40.484172125503072</v>
      </c>
      <c r="Y100" s="7">
        <v>42.868082386723202</v>
      </c>
    </row>
    <row r="101" spans="1:25" x14ac:dyDescent="0.3">
      <c r="A101" s="2">
        <v>1997</v>
      </c>
      <c r="B101">
        <v>6.9864232468278402</v>
      </c>
      <c r="C101">
        <v>7.0945388793945297</v>
      </c>
      <c r="D101">
        <v>7.5234846134708304</v>
      </c>
      <c r="E101">
        <v>6.8502321517630804</v>
      </c>
      <c r="F101">
        <v>5.5022183726911704</v>
      </c>
      <c r="G101">
        <v>4.5408529370614898</v>
      </c>
      <c r="H101">
        <v>3.84770957345832</v>
      </c>
      <c r="I101">
        <v>4.2719694036327001</v>
      </c>
      <c r="J101">
        <v>2.0940525577492899</v>
      </c>
      <c r="K101">
        <v>4.99468354497054</v>
      </c>
      <c r="L101">
        <v>4.3507106433176004</v>
      </c>
      <c r="M101">
        <v>1.23212510526997</v>
      </c>
      <c r="N101">
        <v>6.0895015870055103</v>
      </c>
      <c r="O101">
        <v>2.68863647833262</v>
      </c>
      <c r="P101">
        <v>5.2123887966757003</v>
      </c>
      <c r="Q101">
        <v>5.0294291148447003</v>
      </c>
      <c r="S101" s="5">
        <f t="shared" si="7"/>
        <v>4.8943098129041189</v>
      </c>
      <c r="T101" s="5">
        <f t="shared" si="8"/>
        <v>4.1429111277790316</v>
      </c>
      <c r="U101" s="7">
        <f t="shared" si="9"/>
        <v>5.3787966914284429</v>
      </c>
      <c r="V101" s="9"/>
      <c r="W101" s="5"/>
      <c r="X101" s="2">
        <f t="shared" ref="X101:X129" si="10">(T101*(9/5))+32</f>
        <v>39.457240030002254</v>
      </c>
      <c r="Y101" s="7">
        <v>41.681834044571197</v>
      </c>
    </row>
    <row r="102" spans="1:25" x14ac:dyDescent="0.3">
      <c r="A102" s="2">
        <v>1998</v>
      </c>
      <c r="B102">
        <v>6.8953370113895396</v>
      </c>
      <c r="C102">
        <v>6.9440248231365302</v>
      </c>
      <c r="D102">
        <v>7.2976562831499798</v>
      </c>
      <c r="E102">
        <v>6.6975980849298704</v>
      </c>
      <c r="F102">
        <v>5.3923244494281404</v>
      </c>
      <c r="G102">
        <v>4.3983614588437003</v>
      </c>
      <c r="H102">
        <v>3.6634067365159702</v>
      </c>
      <c r="I102">
        <v>4.2711372368956297</v>
      </c>
      <c r="J102">
        <v>2.4518922546955002</v>
      </c>
      <c r="K102">
        <v>5.1208450980382398</v>
      </c>
      <c r="L102">
        <v>4.6271001596973402</v>
      </c>
      <c r="M102">
        <v>1.16699238607328</v>
      </c>
      <c r="N102">
        <v>6.1994267549008502</v>
      </c>
      <c r="O102">
        <v>2.7355148370951801</v>
      </c>
      <c r="P102">
        <v>5.33554001213753</v>
      </c>
      <c r="Q102">
        <v>5.0861121638180498</v>
      </c>
      <c r="S102" s="5">
        <f t="shared" si="7"/>
        <v>4.8927043594215833</v>
      </c>
      <c r="T102" s="5">
        <f t="shared" si="8"/>
        <v>4.2361110134503281</v>
      </c>
      <c r="U102" s="7">
        <f t="shared" si="9"/>
        <v>5.3133308430728317</v>
      </c>
      <c r="V102" s="9"/>
      <c r="W102" s="5"/>
      <c r="X102" s="2">
        <f t="shared" si="10"/>
        <v>39.62499982421059</v>
      </c>
      <c r="Y102" s="7">
        <v>41.563995517531097</v>
      </c>
    </row>
    <row r="103" spans="1:25" x14ac:dyDescent="0.3">
      <c r="A103" s="2">
        <v>1999</v>
      </c>
      <c r="B103">
        <v>6.8005425609954404</v>
      </c>
      <c r="C103">
        <v>6.8850323108777598</v>
      </c>
      <c r="D103">
        <v>7.2686758172022197</v>
      </c>
      <c r="E103">
        <v>6.6438022718037599</v>
      </c>
      <c r="F103">
        <v>5.3171816627571502</v>
      </c>
      <c r="G103">
        <v>4.2915225557268499</v>
      </c>
      <c r="H103">
        <v>3.54195195828399</v>
      </c>
      <c r="I103">
        <v>4.3253432701711798</v>
      </c>
      <c r="J103">
        <v>2.0232643682662799</v>
      </c>
      <c r="K103">
        <v>4.9259043143220103</v>
      </c>
      <c r="L103">
        <v>4.2912269809066403</v>
      </c>
      <c r="M103">
        <v>1.24028836015153</v>
      </c>
      <c r="N103">
        <v>6.0497505834657899</v>
      </c>
      <c r="O103">
        <v>2.6330566549954399</v>
      </c>
      <c r="P103">
        <v>5.2724655025625902</v>
      </c>
      <c r="Q103">
        <v>5.1049624193204597</v>
      </c>
      <c r="S103" s="5">
        <f t="shared" si="7"/>
        <v>4.7884357244880684</v>
      </c>
      <c r="T103" s="5">
        <f t="shared" si="8"/>
        <v>4.1023808439606491</v>
      </c>
      <c r="U103" s="7">
        <f t="shared" si="9"/>
        <v>5.2361522854975542</v>
      </c>
      <c r="V103" s="9"/>
      <c r="W103" s="5"/>
      <c r="X103" s="2">
        <f t="shared" si="10"/>
        <v>39.384285519129165</v>
      </c>
      <c r="Y103" s="7">
        <v>41.425074113895597</v>
      </c>
    </row>
    <row r="104" spans="1:25" x14ac:dyDescent="0.3">
      <c r="A104" s="2">
        <v>2000</v>
      </c>
      <c r="B104">
        <v>8.7488657768632496</v>
      </c>
      <c r="C104">
        <v>8.7874490617077203</v>
      </c>
      <c r="D104">
        <v>8.9263087217925001</v>
      </c>
      <c r="E104">
        <v>8.2891851884256997</v>
      </c>
      <c r="F104">
        <v>7.2256988327685603</v>
      </c>
      <c r="G104">
        <v>6.2280668772634904</v>
      </c>
      <c r="H104">
        <v>5.5326473296014296</v>
      </c>
      <c r="I104">
        <v>6.0610741178194703</v>
      </c>
      <c r="J104">
        <v>3.8017629951727199</v>
      </c>
      <c r="K104">
        <v>6.6598677504095196</v>
      </c>
      <c r="L104">
        <v>6.0864899340874503</v>
      </c>
      <c r="M104">
        <v>2.8639778608832902</v>
      </c>
      <c r="N104">
        <v>7.80109583232246</v>
      </c>
      <c r="O104">
        <v>4.2688831755372298</v>
      </c>
      <c r="P104">
        <v>6.8161921520702196</v>
      </c>
      <c r="Q104">
        <v>6.5184910792470596</v>
      </c>
      <c r="S104" s="5">
        <f t="shared" si="7"/>
        <v>6.5385035428732543</v>
      </c>
      <c r="T104" s="5">
        <f t="shared" si="8"/>
        <v>5.7767728451667928</v>
      </c>
      <c r="U104" s="7">
        <f t="shared" si="9"/>
        <v>7.0743502679828891</v>
      </c>
      <c r="V104" s="9"/>
      <c r="W104" s="5"/>
      <c r="X104" s="2">
        <f t="shared" si="10"/>
        <v>42.398191121300229</v>
      </c>
      <c r="Y104" s="7">
        <v>44.7338304823692</v>
      </c>
    </row>
    <row r="105" spans="1:25" x14ac:dyDescent="0.3">
      <c r="A105" s="2">
        <v>2001</v>
      </c>
      <c r="B105">
        <v>7.7342887982930204</v>
      </c>
      <c r="C105">
        <v>7.8339369460328001</v>
      </c>
      <c r="D105">
        <v>7.8964015216043597</v>
      </c>
      <c r="E105">
        <v>7.2677153822493903</v>
      </c>
      <c r="F105">
        <v>6.27025901650729</v>
      </c>
      <c r="G105">
        <v>5.2792778321529097</v>
      </c>
      <c r="H105">
        <v>4.6035483709753402</v>
      </c>
      <c r="I105">
        <v>4.6658430074992197</v>
      </c>
      <c r="J105">
        <v>3.0612554625289099</v>
      </c>
      <c r="K105">
        <v>5.4101168771312702</v>
      </c>
      <c r="L105">
        <v>5.0223080956772597</v>
      </c>
      <c r="M105">
        <v>1.9084969308278299</v>
      </c>
      <c r="N105">
        <v>6.5154212383374803</v>
      </c>
      <c r="O105">
        <v>3.3483532409145398</v>
      </c>
      <c r="P105">
        <v>5.5888452053070097</v>
      </c>
      <c r="Q105">
        <v>5.4432483490199299</v>
      </c>
      <c r="S105" s="5">
        <f t="shared" si="7"/>
        <v>5.4905822671911588</v>
      </c>
      <c r="T105" s="5">
        <f t="shared" si="8"/>
        <v>4.716795794174061</v>
      </c>
      <c r="U105" s="7">
        <f t="shared" si="9"/>
        <v>6.0073162416481116</v>
      </c>
      <c r="V105" s="9"/>
      <c r="W105" s="5"/>
      <c r="X105" s="2">
        <f t="shared" si="10"/>
        <v>40.490232429513313</v>
      </c>
      <c r="Y105" s="7">
        <v>42.813169234966601</v>
      </c>
    </row>
    <row r="106" spans="1:25" x14ac:dyDescent="0.3">
      <c r="A106" s="2">
        <v>2002</v>
      </c>
      <c r="B106">
        <v>7.3465035076010698</v>
      </c>
      <c r="C106">
        <v>7.4252638784173399</v>
      </c>
      <c r="D106">
        <v>7.5410380196081404</v>
      </c>
      <c r="E106">
        <v>6.9375558872745504</v>
      </c>
      <c r="F106">
        <v>5.8844318043695703</v>
      </c>
      <c r="G106">
        <v>4.8569168022234104</v>
      </c>
      <c r="H106">
        <v>4.1887373543561299</v>
      </c>
      <c r="I106">
        <v>4.42187398533299</v>
      </c>
      <c r="J106">
        <v>2.6924028416202499</v>
      </c>
      <c r="K106">
        <v>5.2279842023980096</v>
      </c>
      <c r="L106">
        <v>4.7426914407782403</v>
      </c>
      <c r="M106">
        <v>1.74306967225793</v>
      </c>
      <c r="N106">
        <v>6.3257527798822499</v>
      </c>
      <c r="O106">
        <v>3.1051451304187498</v>
      </c>
      <c r="P106">
        <v>5.4150832835942104</v>
      </c>
      <c r="Q106">
        <v>5.2436825017406496</v>
      </c>
      <c r="S106" s="5">
        <f t="shared" si="7"/>
        <v>5.1936333182420933</v>
      </c>
      <c r="T106" s="5">
        <f t="shared" si="8"/>
        <v>4.4723411675067366</v>
      </c>
      <c r="U106" s="7">
        <f t="shared" si="9"/>
        <v>5.7011796508621124</v>
      </c>
      <c r="V106" s="9"/>
      <c r="W106" s="5"/>
      <c r="X106" s="2">
        <f t="shared" si="10"/>
        <v>40.050214101512125</v>
      </c>
      <c r="Y106" s="7">
        <v>42.262123371551802</v>
      </c>
    </row>
    <row r="107" spans="1:25" x14ac:dyDescent="0.3">
      <c r="A107" s="2">
        <v>2003</v>
      </c>
      <c r="B107">
        <v>8.0293638260805391</v>
      </c>
      <c r="C107">
        <v>8.1447342314132296</v>
      </c>
      <c r="D107">
        <v>8.2747856096045602</v>
      </c>
      <c r="E107">
        <v>7.6527346441190502</v>
      </c>
      <c r="F107">
        <v>6.4981425529677601</v>
      </c>
      <c r="G107">
        <v>5.4028614021327401</v>
      </c>
      <c r="H107">
        <v>4.7131801949788397</v>
      </c>
      <c r="I107">
        <v>5.4339998026416696</v>
      </c>
      <c r="J107">
        <v>3.4214210680086299</v>
      </c>
      <c r="K107">
        <v>6.1992121497245698</v>
      </c>
      <c r="L107">
        <v>5.7622037711208796</v>
      </c>
      <c r="M107">
        <v>2.1598436284555098</v>
      </c>
      <c r="N107">
        <v>7.1784386941423204</v>
      </c>
      <c r="O107">
        <v>3.5351323826672298</v>
      </c>
      <c r="P107">
        <v>6.2140899027047096</v>
      </c>
      <c r="Q107">
        <v>5.8087608062241198</v>
      </c>
      <c r="S107" s="5">
        <f t="shared" si="7"/>
        <v>5.9018065416866472</v>
      </c>
      <c r="T107" s="5">
        <f t="shared" si="8"/>
        <v>5.1984094149595323</v>
      </c>
      <c r="U107" s="7">
        <f t="shared" si="9"/>
        <v>6.3425361216868881</v>
      </c>
      <c r="V107" s="9"/>
      <c r="W107" s="5"/>
      <c r="X107" s="2">
        <f t="shared" si="10"/>
        <v>41.357136946927156</v>
      </c>
      <c r="Y107" s="7">
        <v>43.416565019036398</v>
      </c>
    </row>
    <row r="108" spans="1:25" x14ac:dyDescent="0.3">
      <c r="A108" s="2">
        <v>2004</v>
      </c>
      <c r="B108">
        <v>7.3960184578687098</v>
      </c>
      <c r="C108">
        <v>7.4901117369776902</v>
      </c>
      <c r="D108">
        <v>7.6385205576980004</v>
      </c>
      <c r="E108">
        <v>7.1240371615508904</v>
      </c>
      <c r="F108">
        <v>6.0998440726858698</v>
      </c>
      <c r="G108">
        <v>5.12993668858471</v>
      </c>
      <c r="H108">
        <v>4.3952013189023997</v>
      </c>
      <c r="I108">
        <v>4.5766434008306502</v>
      </c>
      <c r="J108">
        <v>2.94616023626158</v>
      </c>
      <c r="K108">
        <v>5.5096986274250197</v>
      </c>
      <c r="L108">
        <v>5.2600543205855299</v>
      </c>
      <c r="M108">
        <v>1.9781980845120399</v>
      </c>
      <c r="N108">
        <v>6.4775806991128997</v>
      </c>
      <c r="O108">
        <v>3.2277262293901599</v>
      </c>
      <c r="P108">
        <v>5.5887340502660798</v>
      </c>
      <c r="Q108">
        <v>5.3321638094271497</v>
      </c>
      <c r="S108" s="5">
        <f t="shared" si="7"/>
        <v>5.3856643407549614</v>
      </c>
      <c r="T108" s="5">
        <f t="shared" si="8"/>
        <v>4.7041415890922256</v>
      </c>
      <c r="U108" s="7">
        <f t="shared" si="9"/>
        <v>5.972171335085557</v>
      </c>
      <c r="V108" s="9"/>
      <c r="W108" s="5"/>
      <c r="X108" s="2">
        <f t="shared" si="10"/>
        <v>40.467454860366004</v>
      </c>
      <c r="Y108" s="7">
        <v>42.749908403154002</v>
      </c>
    </row>
    <row r="109" spans="1:25" x14ac:dyDescent="0.3">
      <c r="A109" s="2">
        <v>2005</v>
      </c>
      <c r="B109">
        <v>7.6318411182867303</v>
      </c>
      <c r="C109">
        <v>7.7576289831775496</v>
      </c>
      <c r="D109">
        <v>7.8997931836402602</v>
      </c>
      <c r="E109">
        <v>7.3504247748688503</v>
      </c>
      <c r="F109">
        <v>6.2337603329438496</v>
      </c>
      <c r="G109">
        <v>5.1470599896287297</v>
      </c>
      <c r="H109">
        <v>4.3043636877242797</v>
      </c>
      <c r="I109">
        <v>4.64641144961527</v>
      </c>
      <c r="J109">
        <v>3.0409255171475298</v>
      </c>
      <c r="K109">
        <v>5.6055110332084004</v>
      </c>
      <c r="L109">
        <v>5.3136578884843297</v>
      </c>
      <c r="M109">
        <v>1.96798807235613</v>
      </c>
      <c r="N109">
        <v>6.6954410797929098</v>
      </c>
      <c r="O109">
        <v>3.2472043187650899</v>
      </c>
      <c r="P109">
        <v>5.9592727949358002</v>
      </c>
      <c r="Q109">
        <v>5.4725337913591598</v>
      </c>
      <c r="S109" s="5">
        <f t="shared" si="7"/>
        <v>5.517113625995929</v>
      </c>
      <c r="T109" s="5">
        <f t="shared" si="8"/>
        <v>4.812129860221674</v>
      </c>
      <c r="U109" s="7">
        <f t="shared" si="9"/>
        <v>6.1841541055253346</v>
      </c>
      <c r="V109" s="9"/>
      <c r="W109" s="5"/>
      <c r="X109" s="2">
        <f t="shared" si="10"/>
        <v>40.661833748399012</v>
      </c>
      <c r="Y109" s="7">
        <v>43.131477389945601</v>
      </c>
    </row>
    <row r="110" spans="1:25" x14ac:dyDescent="0.3">
      <c r="A110" s="2">
        <v>2006</v>
      </c>
      <c r="B110">
        <v>7.75347174185596</v>
      </c>
      <c r="C110">
        <v>7.8000224988754496</v>
      </c>
      <c r="D110">
        <v>7.9627003403559096</v>
      </c>
      <c r="E110">
        <v>7.2962744610460701</v>
      </c>
      <c r="F110">
        <v>6.2573352539376002</v>
      </c>
      <c r="G110">
        <v>5.2514027442017603</v>
      </c>
      <c r="H110">
        <v>4.5070867182100098</v>
      </c>
      <c r="I110">
        <v>4.8998884592970802</v>
      </c>
      <c r="J110">
        <v>3.2747818685557699</v>
      </c>
      <c r="K110">
        <v>5.7806462599806601</v>
      </c>
      <c r="L110">
        <v>5.4280271447684703</v>
      </c>
      <c r="M110">
        <v>2.0314195312865801</v>
      </c>
      <c r="N110">
        <v>6.9854809152753399</v>
      </c>
      <c r="O110">
        <v>3.2643129048282198</v>
      </c>
      <c r="P110">
        <v>6.0199487826595597</v>
      </c>
      <c r="Q110">
        <v>5.5452743236332704</v>
      </c>
      <c r="S110" s="5">
        <f t="shared" si="7"/>
        <v>5.6286296217979812</v>
      </c>
      <c r="T110" s="5">
        <f t="shared" si="8"/>
        <v>4.9270638590188183</v>
      </c>
      <c r="U110" s="7">
        <f t="shared" si="9"/>
        <v>6.2263024923002224</v>
      </c>
      <c r="V110" s="9"/>
      <c r="W110" s="5"/>
      <c r="X110" s="2">
        <f t="shared" si="10"/>
        <v>40.868714946233872</v>
      </c>
      <c r="Y110" s="7">
        <v>43.2073444861404</v>
      </c>
    </row>
    <row r="111" spans="1:25" x14ac:dyDescent="0.3">
      <c r="A111" s="2">
        <v>2007</v>
      </c>
      <c r="B111">
        <v>7.8727840031663003</v>
      </c>
      <c r="C111">
        <v>7.8529544810726204</v>
      </c>
      <c r="D111">
        <v>8.0664712141637906</v>
      </c>
      <c r="E111">
        <v>7.4965391315826002</v>
      </c>
      <c r="F111">
        <v>6.7098526984045002</v>
      </c>
      <c r="G111">
        <v>5.8520628171424303</v>
      </c>
      <c r="H111">
        <v>5.0812906433458203</v>
      </c>
      <c r="I111">
        <v>5.3367376239332396</v>
      </c>
      <c r="J111">
        <v>3.74800796280168</v>
      </c>
      <c r="K111">
        <v>6.2254262323248897</v>
      </c>
      <c r="L111">
        <v>5.9581067392270901</v>
      </c>
      <c r="M111">
        <v>2.5569005502413402</v>
      </c>
      <c r="N111">
        <v>7.3925588189739102</v>
      </c>
      <c r="O111">
        <v>3.8888579318784702</v>
      </c>
      <c r="P111">
        <v>6.5062906429375698</v>
      </c>
      <c r="Q111">
        <v>6.0639550462161003</v>
      </c>
      <c r="S111" s="5">
        <f t="shared" si="7"/>
        <v>6.0380497835882716</v>
      </c>
      <c r="T111" s="5">
        <f t="shared" si="8"/>
        <v>5.4146412001671402</v>
      </c>
      <c r="U111" s="7">
        <f t="shared" si="9"/>
        <v>6.6046781109246115</v>
      </c>
      <c r="V111" s="9"/>
      <c r="W111" s="5"/>
      <c r="X111" s="2">
        <f t="shared" si="10"/>
        <v>41.746354160300854</v>
      </c>
      <c r="Y111" s="7">
        <v>43.8884205996643</v>
      </c>
    </row>
    <row r="112" spans="1:25" x14ac:dyDescent="0.3">
      <c r="A112" s="2">
        <v>2008</v>
      </c>
      <c r="B112">
        <v>6.3754918045450797</v>
      </c>
      <c r="C112">
        <v>6.4248645091480201</v>
      </c>
      <c r="D112">
        <v>6.6790733933041704</v>
      </c>
      <c r="E112">
        <v>6.1331666563052298</v>
      </c>
      <c r="F112">
        <v>5.1248474824623997</v>
      </c>
      <c r="G112">
        <v>4.2005302492386702</v>
      </c>
      <c r="H112">
        <v>3.4786394834518402</v>
      </c>
      <c r="I112">
        <v>3.42785005605286</v>
      </c>
      <c r="J112">
        <v>2.0431188651121399</v>
      </c>
      <c r="K112">
        <v>4.53669516033814</v>
      </c>
      <c r="L112">
        <v>4.1763088598928801</v>
      </c>
      <c r="M112">
        <v>0.819477597220999</v>
      </c>
      <c r="N112">
        <v>5.8292964719683704</v>
      </c>
      <c r="O112">
        <v>2.1471269633926302</v>
      </c>
      <c r="P112">
        <v>4.8324342490545398</v>
      </c>
      <c r="Q112">
        <v>4.4285882815637203</v>
      </c>
      <c r="S112" s="5">
        <f t="shared" si="7"/>
        <v>4.4160943801907306</v>
      </c>
      <c r="T112" s="5">
        <f t="shared" si="8"/>
        <v>3.7297364577857217</v>
      </c>
      <c r="U112" s="7">
        <f t="shared" si="9"/>
        <v>5.2064337450045013</v>
      </c>
      <c r="V112" s="9"/>
      <c r="W112" s="5"/>
      <c r="X112" s="2">
        <f t="shared" si="10"/>
        <v>38.713525624014302</v>
      </c>
      <c r="Y112" s="7">
        <v>41.371580741008103</v>
      </c>
    </row>
    <row r="113" spans="1:25" x14ac:dyDescent="0.3">
      <c r="A113" s="2">
        <v>2009</v>
      </c>
      <c r="B113">
        <v>7.4311349594429696</v>
      </c>
      <c r="C113">
        <v>7.4903551526265604</v>
      </c>
      <c r="D113">
        <v>7.7047439777687803</v>
      </c>
      <c r="E113">
        <v>7.1657545158307796</v>
      </c>
      <c r="F113">
        <v>6.1396664450429901</v>
      </c>
      <c r="G113">
        <v>5.22055232067631</v>
      </c>
      <c r="H113">
        <v>4.5302132541186202</v>
      </c>
      <c r="I113">
        <v>4.8705120929300003</v>
      </c>
      <c r="J113">
        <v>2.98896689153697</v>
      </c>
      <c r="K113">
        <v>5.6492435798253098</v>
      </c>
      <c r="L113">
        <v>5.1868733902500104</v>
      </c>
      <c r="M113">
        <v>1.87832959384134</v>
      </c>
      <c r="N113">
        <v>6.7975084227241904</v>
      </c>
      <c r="O113">
        <v>3.2102657724324999</v>
      </c>
      <c r="P113">
        <v>5.8911539677071199</v>
      </c>
      <c r="Q113">
        <v>5.3783631639937797</v>
      </c>
      <c r="S113" s="5">
        <f t="shared" si="7"/>
        <v>5.4708523437967651</v>
      </c>
      <c r="T113" s="5">
        <f t="shared" si="8"/>
        <v>4.769194663353657</v>
      </c>
      <c r="U113" s="7">
        <f t="shared" si="9"/>
        <v>6.215402900553058</v>
      </c>
      <c r="V113" s="9"/>
      <c r="W113" s="5"/>
      <c r="X113" s="2">
        <f t="shared" si="10"/>
        <v>40.584550394036583</v>
      </c>
      <c r="Y113" s="7">
        <v>43.187725220995503</v>
      </c>
    </row>
    <row r="114" spans="1:25" x14ac:dyDescent="0.3">
      <c r="A114" s="2">
        <v>2010</v>
      </c>
      <c r="B114">
        <v>6.5039861607224996</v>
      </c>
      <c r="C114">
        <v>6.5899985395065697</v>
      </c>
      <c r="D114">
        <v>6.7443999822825598</v>
      </c>
      <c r="E114">
        <v>6.2023821484552704</v>
      </c>
      <c r="F114">
        <v>5.2150050925881901</v>
      </c>
      <c r="G114">
        <v>4.3296534427224804</v>
      </c>
      <c r="H114">
        <v>3.57719414479112</v>
      </c>
      <c r="I114">
        <v>3.9643603869496999</v>
      </c>
      <c r="J114">
        <v>1.8849574529553099</v>
      </c>
      <c r="K114">
        <v>4.6587212868187899</v>
      </c>
      <c r="L114">
        <v>4.1330126220232799</v>
      </c>
      <c r="M114">
        <v>0.99569185514972602</v>
      </c>
      <c r="N114">
        <v>5.7887825676839597</v>
      </c>
      <c r="O114">
        <v>2.3936983248142298</v>
      </c>
      <c r="P114">
        <v>4.9305949654072903</v>
      </c>
      <c r="Q114">
        <v>4.55135715530343</v>
      </c>
      <c r="S114" s="5">
        <f t="shared" si="7"/>
        <v>4.5289872580109014</v>
      </c>
      <c r="T114" s="5">
        <f t="shared" si="8"/>
        <v>3.8229822939655915</v>
      </c>
      <c r="U114" s="7">
        <f t="shared" si="9"/>
        <v>5.3146384202298336</v>
      </c>
      <c r="V114" s="9"/>
      <c r="W114" s="5"/>
      <c r="X114" s="2">
        <f t="shared" si="10"/>
        <v>38.881368129138068</v>
      </c>
      <c r="Y114" s="7">
        <v>41.5663491564137</v>
      </c>
    </row>
    <row r="115" spans="1:25" x14ac:dyDescent="0.3">
      <c r="A115" s="2">
        <v>2011</v>
      </c>
      <c r="B115">
        <v>6.8017338401893097</v>
      </c>
      <c r="C115">
        <v>6.88245382766201</v>
      </c>
      <c r="D115">
        <v>7.0854871193023596</v>
      </c>
      <c r="E115">
        <v>6.50152074857934</v>
      </c>
      <c r="F115">
        <v>5.42695601166111</v>
      </c>
      <c r="G115">
        <v>4.4671280864575102</v>
      </c>
      <c r="H115">
        <v>3.7359352761752</v>
      </c>
      <c r="I115">
        <v>3.84846563273913</v>
      </c>
      <c r="J115">
        <v>2.1350694989504899</v>
      </c>
      <c r="K115">
        <v>4.8952141036725996</v>
      </c>
      <c r="L115">
        <v>4.41087031331781</v>
      </c>
      <c r="M115">
        <v>1.2475445871483799</v>
      </c>
      <c r="N115">
        <v>6.1075305747659199</v>
      </c>
      <c r="O115">
        <v>2.5598295819269499</v>
      </c>
      <c r="P115">
        <v>5.1170603637826</v>
      </c>
      <c r="Q115">
        <v>4.7408916865309596</v>
      </c>
      <c r="S115" s="5">
        <f t="shared" si="7"/>
        <v>4.7477307033038549</v>
      </c>
      <c r="T115" s="5">
        <f t="shared" si="8"/>
        <v>4.0415635963127245</v>
      </c>
      <c r="U115" s="7">
        <f t="shared" si="9"/>
        <v>5.4536073350663337</v>
      </c>
      <c r="V115" s="9"/>
      <c r="W115" s="5"/>
      <c r="X115" s="2">
        <f t="shared" si="10"/>
        <v>39.274814473362902</v>
      </c>
      <c r="Y115" s="7">
        <v>41.8164932031194</v>
      </c>
    </row>
    <row r="116" spans="1:25" x14ac:dyDescent="0.3">
      <c r="A116" s="2">
        <v>2012</v>
      </c>
      <c r="B116">
        <v>8.1659668006532193</v>
      </c>
      <c r="C116">
        <v>8.1872922478477808</v>
      </c>
      <c r="D116">
        <v>8.4329514663076104</v>
      </c>
      <c r="E116">
        <v>7.8910034269583003</v>
      </c>
      <c r="F116">
        <v>6.8812123914885399</v>
      </c>
      <c r="G116">
        <v>5.9566265158965903</v>
      </c>
      <c r="H116">
        <v>5.26521645657352</v>
      </c>
      <c r="I116">
        <v>5.3891085524702298</v>
      </c>
      <c r="J116">
        <v>3.5631670551221899</v>
      </c>
      <c r="K116">
        <v>6.3338940071929404</v>
      </c>
      <c r="L116">
        <v>5.8047453881612903</v>
      </c>
      <c r="M116">
        <v>2.5223752738999501</v>
      </c>
      <c r="N116">
        <v>7.5282450513761496</v>
      </c>
      <c r="O116">
        <v>3.97339110963983</v>
      </c>
      <c r="P116">
        <v>6.5673198752064499</v>
      </c>
      <c r="Q116">
        <v>6.1112196787458997</v>
      </c>
      <c r="S116" s="5">
        <f t="shared" si="7"/>
        <v>6.1608584560962809</v>
      </c>
      <c r="T116" s="5">
        <f t="shared" si="8"/>
        <v>5.4464239649803075</v>
      </c>
      <c r="U116" s="7">
        <f t="shared" si="9"/>
        <v>6.8675279917147796</v>
      </c>
      <c r="V116" s="9"/>
      <c r="W116" s="5"/>
      <c r="X116" s="2">
        <f t="shared" si="10"/>
        <v>41.803563136964556</v>
      </c>
      <c r="Y116" s="7">
        <v>44.361550385086602</v>
      </c>
    </row>
    <row r="117" spans="1:25" x14ac:dyDescent="0.3">
      <c r="A117" s="2">
        <v>2013</v>
      </c>
      <c r="B117">
        <v>7.3018653869628896</v>
      </c>
      <c r="C117">
        <v>7.2900309138102104</v>
      </c>
      <c r="D117">
        <v>7.5813490554077996</v>
      </c>
      <c r="E117">
        <v>7.1172533378209204</v>
      </c>
      <c r="F117">
        <v>6.1635169737959599</v>
      </c>
      <c r="G117">
        <v>5.2590188087665899</v>
      </c>
      <c r="H117">
        <v>4.49633193816224</v>
      </c>
      <c r="I117">
        <v>4.9018261462041801</v>
      </c>
      <c r="J117">
        <v>2.9589727992880799</v>
      </c>
      <c r="K117">
        <v>5.7929396606471402</v>
      </c>
      <c r="L117">
        <v>5.2926140331242202</v>
      </c>
      <c r="M117">
        <v>1.8394309262706801</v>
      </c>
      <c r="N117">
        <v>6.9554088174480304</v>
      </c>
      <c r="O117">
        <v>3.4552442410220801</v>
      </c>
      <c r="P117">
        <v>6.0237842154829497</v>
      </c>
      <c r="Q117">
        <v>5.5947934187030102</v>
      </c>
      <c r="S117" s="5">
        <f t="shared" si="7"/>
        <v>5.501523792057311</v>
      </c>
      <c r="T117" s="5">
        <f t="shared" si="8"/>
        <v>4.8679500101050914</v>
      </c>
      <c r="U117" s="7">
        <f t="shared" si="9"/>
        <v>6.15104257921461</v>
      </c>
      <c r="V117" s="9"/>
      <c r="W117" s="5"/>
      <c r="X117" s="2">
        <f t="shared" si="10"/>
        <v>40.762310018189169</v>
      </c>
      <c r="Y117" s="7">
        <v>43.071876642586297</v>
      </c>
    </row>
    <row r="118" spans="1:25" x14ac:dyDescent="0.3">
      <c r="A118" s="2">
        <v>2014</v>
      </c>
      <c r="B118">
        <v>7.3587811025854704</v>
      </c>
      <c r="C118">
        <v>7.3633031871220798</v>
      </c>
      <c r="D118">
        <v>7.6786535707238599</v>
      </c>
      <c r="E118">
        <v>7.1735796921873698</v>
      </c>
      <c r="F118">
        <v>6.1436693390754797</v>
      </c>
      <c r="G118">
        <v>5.21666988358922</v>
      </c>
      <c r="H118">
        <v>4.4990720755433404</v>
      </c>
      <c r="I118">
        <v>4.8982548680207501</v>
      </c>
      <c r="J118">
        <v>2.6211359282879001</v>
      </c>
      <c r="K118">
        <v>5.6023625213805897</v>
      </c>
      <c r="L118">
        <v>5.0085227063257403</v>
      </c>
      <c r="M118">
        <v>1.7792709301595799</v>
      </c>
      <c r="N118">
        <v>6.8017487375703602</v>
      </c>
      <c r="O118">
        <v>3.36409283435508</v>
      </c>
      <c r="P118">
        <v>5.8177527535451601</v>
      </c>
      <c r="Q118">
        <v>5.5093489806946003</v>
      </c>
      <c r="S118" s="5">
        <f t="shared" si="7"/>
        <v>5.4272636944479116</v>
      </c>
      <c r="T118" s="5">
        <f t="shared" si="8"/>
        <v>4.7200648511531531</v>
      </c>
      <c r="U118" s="7">
        <f t="shared" si="9"/>
        <v>6.1327644166913355</v>
      </c>
      <c r="V118" s="9"/>
      <c r="W118" s="5"/>
      <c r="X118" s="2">
        <f t="shared" si="10"/>
        <v>40.496116732075677</v>
      </c>
      <c r="Y118" s="7">
        <v>43.038975950044403</v>
      </c>
    </row>
    <row r="119" spans="1:25" x14ac:dyDescent="0.3">
      <c r="A119" s="2">
        <v>2015</v>
      </c>
      <c r="B119">
        <v>8.6991809694734297</v>
      </c>
      <c r="C119">
        <v>8.7585251504427806</v>
      </c>
      <c r="D119">
        <v>9.2594919626026897</v>
      </c>
      <c r="E119">
        <v>8.7477344147146603</v>
      </c>
      <c r="F119">
        <v>7.5120615319846404</v>
      </c>
      <c r="G119">
        <v>6.5804162577407004</v>
      </c>
      <c r="H119">
        <v>5.8746965983142596</v>
      </c>
      <c r="I119">
        <v>6.3500317560483301</v>
      </c>
      <c r="J119">
        <v>4.0100765921481702</v>
      </c>
      <c r="K119">
        <v>6.9669128743752999</v>
      </c>
      <c r="L119">
        <v>6.33400245300711</v>
      </c>
      <c r="M119">
        <v>3.0813998279506198</v>
      </c>
      <c r="N119">
        <v>8.1924631825048593</v>
      </c>
      <c r="O119">
        <v>4.6895338835781599</v>
      </c>
      <c r="P119">
        <v>7.1283351352770001</v>
      </c>
      <c r="Q119">
        <v>6.8193339099622801</v>
      </c>
      <c r="S119" s="5">
        <f t="shared" si="7"/>
        <v>6.8127622812578119</v>
      </c>
      <c r="T119" s="5">
        <f t="shared" si="8"/>
        <v>6.0716969743224585</v>
      </c>
      <c r="U119" s="7">
        <f t="shared" si="9"/>
        <v>7.1766543530000018</v>
      </c>
      <c r="V119" s="9"/>
      <c r="W119" s="5"/>
      <c r="X119" s="2">
        <f t="shared" si="10"/>
        <v>42.929054553780425</v>
      </c>
      <c r="Y119" s="7">
        <v>44.917977835400002</v>
      </c>
    </row>
    <row r="120" spans="1:25" x14ac:dyDescent="0.3">
      <c r="A120" s="2">
        <v>2016</v>
      </c>
      <c r="B120">
        <v>7.9969910020466699</v>
      </c>
      <c r="C120">
        <v>8.0999657411962893</v>
      </c>
      <c r="D120">
        <v>8.6571116808985096</v>
      </c>
      <c r="E120">
        <v>8.1227793413509595</v>
      </c>
      <c r="F120">
        <v>6.7925971979326203</v>
      </c>
      <c r="G120">
        <v>5.8544652098026404</v>
      </c>
      <c r="H120">
        <v>5.0612383540210804</v>
      </c>
      <c r="I120">
        <v>5.2650978576208702</v>
      </c>
      <c r="J120">
        <v>3.4314857389106099</v>
      </c>
      <c r="K120">
        <v>6.11462414720671</v>
      </c>
      <c r="L120">
        <v>5.5917742993336601</v>
      </c>
      <c r="M120">
        <v>2.3476347157864002</v>
      </c>
      <c r="N120">
        <v>7.2726065325932403</v>
      </c>
      <c r="O120">
        <v>4.0065034745169497</v>
      </c>
      <c r="P120">
        <v>6.34205492858678</v>
      </c>
      <c r="Q120">
        <v>6.0876537339934904</v>
      </c>
      <c r="S120" s="5">
        <f t="shared" si="7"/>
        <v>6.0652864972373424</v>
      </c>
      <c r="T120" s="5">
        <f t="shared" si="8"/>
        <v>5.3213207659271822</v>
      </c>
      <c r="U120" s="7">
        <f t="shared" si="9"/>
        <v>6.706856309</v>
      </c>
      <c r="V120" s="9"/>
      <c r="W120" s="5"/>
      <c r="X120" s="2">
        <f t="shared" si="10"/>
        <v>41.578377378668932</v>
      </c>
      <c r="Y120" s="7">
        <v>44.072341356199999</v>
      </c>
    </row>
    <row r="121" spans="1:25" x14ac:dyDescent="0.3">
      <c r="A121" s="2">
        <v>2017</v>
      </c>
      <c r="B121">
        <v>8.1116218305613899</v>
      </c>
      <c r="C121">
        <v>8.2423102796894199</v>
      </c>
      <c r="D121">
        <v>8.9022133422224492</v>
      </c>
      <c r="E121">
        <v>8.3599574108646308</v>
      </c>
      <c r="F121">
        <v>6.9225424211319204</v>
      </c>
      <c r="G121">
        <v>5.9245936073668997</v>
      </c>
      <c r="H121">
        <v>5.0444096049217304</v>
      </c>
      <c r="I121">
        <v>5.3181342322532403</v>
      </c>
      <c r="J121">
        <v>3.2825398971569002</v>
      </c>
      <c r="K121">
        <v>6.2219568513844097</v>
      </c>
      <c r="L121">
        <v>5.6589059026274002</v>
      </c>
      <c r="M121">
        <v>2.5590032285206901</v>
      </c>
      <c r="N121">
        <v>7.5001134010210402</v>
      </c>
      <c r="O121">
        <v>4.1210520793313803</v>
      </c>
      <c r="P121">
        <v>6.6564814286689202</v>
      </c>
      <c r="Q121">
        <v>6.2796292174352404</v>
      </c>
      <c r="S121" s="5">
        <f t="shared" si="7"/>
        <v>6.1940915459473542</v>
      </c>
      <c r="T121" s="5">
        <f t="shared" si="8"/>
        <v>5.4453576378964872</v>
      </c>
      <c r="U121" s="7">
        <f t="shared" si="9"/>
        <v>6.8410686077500005</v>
      </c>
      <c r="V121" s="9"/>
      <c r="W121" s="5"/>
      <c r="X121" s="2">
        <f t="shared" si="10"/>
        <v>41.801643748213678</v>
      </c>
      <c r="Y121" s="7">
        <v>44.31392349395</v>
      </c>
    </row>
    <row r="122" spans="1:25" x14ac:dyDescent="0.3">
      <c r="A122" s="2">
        <v>2018</v>
      </c>
      <c r="B122">
        <v>8.4235381528122808</v>
      </c>
      <c r="C122">
        <v>8.5126010568174593</v>
      </c>
      <c r="D122">
        <v>9.1149310699880903</v>
      </c>
      <c r="E122">
        <v>8.6773347224274708</v>
      </c>
      <c r="F122">
        <v>7.4369583445052596</v>
      </c>
      <c r="G122">
        <v>6.5648533174436396</v>
      </c>
      <c r="H122">
        <v>5.8661059722508497</v>
      </c>
      <c r="I122">
        <v>6.1723629197029197</v>
      </c>
      <c r="J122">
        <v>3.55014146517401</v>
      </c>
      <c r="K122">
        <v>6.6414662617526599</v>
      </c>
      <c r="L122">
        <v>5.9477617257261901</v>
      </c>
      <c r="M122">
        <v>3.0975323779942201</v>
      </c>
      <c r="N122">
        <v>7.93287358496287</v>
      </c>
      <c r="O122">
        <v>4.6806808814610497</v>
      </c>
      <c r="P122">
        <v>7.01855525911773</v>
      </c>
      <c r="Q122">
        <v>6.7912840074872296</v>
      </c>
      <c r="S122" s="5">
        <f t="shared" si="7"/>
        <v>6.6518113199764963</v>
      </c>
      <c r="T122" s="5">
        <f t="shared" si="8"/>
        <v>5.8891402805334678</v>
      </c>
      <c r="U122" s="7">
        <f t="shared" si="9"/>
        <v>7.2745274987500022</v>
      </c>
      <c r="V122" s="9"/>
      <c r="W122" s="5"/>
      <c r="X122" s="2">
        <f t="shared" si="10"/>
        <v>42.600452504960245</v>
      </c>
      <c r="Y122" s="7">
        <v>45.094149497750003</v>
      </c>
    </row>
    <row r="123" spans="1:25" x14ac:dyDescent="0.3">
      <c r="A123" s="2">
        <v>2019</v>
      </c>
      <c r="B123">
        <v>6.7634398595927498</v>
      </c>
      <c r="C123">
        <v>6.8486214183781202</v>
      </c>
      <c r="D123">
        <v>7.4265664642804303</v>
      </c>
      <c r="E123">
        <v>6.8687361532694702</v>
      </c>
      <c r="F123">
        <v>5.5829392042062098</v>
      </c>
      <c r="G123">
        <v>4.70491224674329</v>
      </c>
      <c r="H123">
        <v>4.0340482907752504</v>
      </c>
      <c r="I123">
        <v>4.0755163904738696</v>
      </c>
      <c r="J123">
        <v>2.1965457413294498</v>
      </c>
      <c r="K123">
        <v>4.9389203711731797</v>
      </c>
      <c r="L123">
        <v>4.41051260869797</v>
      </c>
      <c r="M123">
        <v>1.25322101720392</v>
      </c>
      <c r="N123">
        <v>6.2854151462855397</v>
      </c>
      <c r="O123">
        <v>2.7965550775397299</v>
      </c>
      <c r="P123">
        <v>5.36310883874763</v>
      </c>
      <c r="Q123">
        <v>4.8440816281592998</v>
      </c>
      <c r="S123" s="5">
        <f t="shared" si="7"/>
        <v>4.8995712785535082</v>
      </c>
      <c r="T123" s="5">
        <f t="shared" si="8"/>
        <v>4.1557288406896395</v>
      </c>
      <c r="U123" s="7">
        <f t="shared" si="9"/>
        <v>5.5117944444444413</v>
      </c>
      <c r="V123" s="9"/>
      <c r="W123" s="5"/>
      <c r="X123" s="2">
        <f t="shared" si="10"/>
        <v>39.480311913241351</v>
      </c>
      <c r="Y123" s="7">
        <v>41.921229999999994</v>
      </c>
    </row>
    <row r="124" spans="1:25" x14ac:dyDescent="0.3">
      <c r="A124" s="2">
        <v>2020</v>
      </c>
      <c r="B124">
        <v>7.3123861890021598</v>
      </c>
      <c r="C124">
        <v>7.3040289943986902</v>
      </c>
      <c r="D124">
        <v>7.7423512590387498</v>
      </c>
      <c r="E124">
        <v>7.1736373878567603</v>
      </c>
      <c r="F124">
        <v>6.06629712480665</v>
      </c>
      <c r="G124">
        <v>5.2743628088975196</v>
      </c>
      <c r="H124">
        <v>4.6833021241784696</v>
      </c>
      <c r="I124">
        <v>4.4275911706067204</v>
      </c>
      <c r="J124">
        <v>2.2565765091793102</v>
      </c>
      <c r="K124">
        <v>5.4082957980085604</v>
      </c>
      <c r="L124">
        <v>4.7204121926728204</v>
      </c>
      <c r="M124">
        <v>1.71381017223733</v>
      </c>
      <c r="N124">
        <v>6.6081991286877102</v>
      </c>
      <c r="O124">
        <v>3.3246791659157102</v>
      </c>
      <c r="P124">
        <v>5.7478595900405303</v>
      </c>
      <c r="Q124">
        <v>5.3680090723264096</v>
      </c>
      <c r="S124" s="5">
        <f t="shared" si="7"/>
        <v>5.3207374179908822</v>
      </c>
      <c r="T124" s="5">
        <f t="shared" si="8"/>
        <v>4.5616125723633498</v>
      </c>
      <c r="U124" s="7">
        <f t="shared" si="9"/>
        <v>6.2748777777777756</v>
      </c>
      <c r="V124" s="9"/>
      <c r="W124" s="5"/>
      <c r="X124" s="2">
        <f t="shared" si="10"/>
        <v>40.210902630254026</v>
      </c>
      <c r="Y124" s="7">
        <v>43.294779999999996</v>
      </c>
    </row>
    <row r="125" spans="1:25" x14ac:dyDescent="0.3">
      <c r="A125" s="2">
        <v>2021</v>
      </c>
      <c r="B125">
        <v>8.1829895091383396</v>
      </c>
      <c r="C125">
        <v>8.1438468560780599</v>
      </c>
      <c r="D125">
        <v>8.4042554189081002</v>
      </c>
      <c r="E125">
        <v>7.8469388690713302</v>
      </c>
      <c r="F125">
        <v>6.9736610921278404</v>
      </c>
      <c r="G125">
        <v>6.0555079646306504</v>
      </c>
      <c r="H125">
        <v>5.4691613153235599</v>
      </c>
      <c r="I125">
        <v>5.89272121337995</v>
      </c>
      <c r="J125">
        <v>3.5291534838611098</v>
      </c>
      <c r="K125">
        <v>6.6677207945144303</v>
      </c>
      <c r="L125">
        <v>5.8868792471820397</v>
      </c>
      <c r="M125">
        <v>2.6065967207085601</v>
      </c>
      <c r="N125">
        <v>7.1641842221560497</v>
      </c>
      <c r="O125">
        <v>4.2612557881499002</v>
      </c>
      <c r="P125">
        <v>6.6531712166250596</v>
      </c>
      <c r="Q125">
        <v>6.1584216047639702</v>
      </c>
      <c r="S125" s="5">
        <f t="shared" si="7"/>
        <v>6.2435290822886849</v>
      </c>
      <c r="T125" s="5">
        <f t="shared" si="8"/>
        <v>5.5645842056915855</v>
      </c>
      <c r="U125" s="7">
        <f t="shared" si="9"/>
        <v>6.6818555555555568</v>
      </c>
      <c r="V125" s="9"/>
      <c r="W125" s="5"/>
      <c r="X125" s="2">
        <f t="shared" si="10"/>
        <v>42.016251570244854</v>
      </c>
      <c r="Y125" s="7">
        <v>44.027340000000002</v>
      </c>
    </row>
    <row r="126" spans="1:25" x14ac:dyDescent="0.3">
      <c r="A126" s="2">
        <v>2022</v>
      </c>
      <c r="B126">
        <v>8.0906504908653094</v>
      </c>
      <c r="C126">
        <v>8.0526904785469799</v>
      </c>
      <c r="D126">
        <v>8.2685031725935705</v>
      </c>
      <c r="E126">
        <v>7.6951395769641797</v>
      </c>
      <c r="F126">
        <v>6.6808887680915898</v>
      </c>
      <c r="G126">
        <v>5.7155371724334501</v>
      </c>
      <c r="H126">
        <v>4.9955894315079501</v>
      </c>
      <c r="I126">
        <v>5.2457039274581501</v>
      </c>
      <c r="J126">
        <v>3.5179992801930799</v>
      </c>
      <c r="K126">
        <v>6.3576096889090898</v>
      </c>
      <c r="L126">
        <v>5.5737576705952199</v>
      </c>
      <c r="M126">
        <v>2.6035439602316202</v>
      </c>
      <c r="N126">
        <v>6.9055433906920998</v>
      </c>
      <c r="O126">
        <v>4.0288625833514597</v>
      </c>
      <c r="P126">
        <v>6.4036786722810302</v>
      </c>
      <c r="Q126">
        <v>5.7951069016979204</v>
      </c>
      <c r="S126" s="5">
        <f t="shared" si="7"/>
        <v>5.9956753229007935</v>
      </c>
      <c r="T126" s="5">
        <f t="shared" si="8"/>
        <v>5.31845252242874</v>
      </c>
      <c r="U126" s="7">
        <f t="shared" si="9"/>
        <v>6.6309833333333321</v>
      </c>
      <c r="V126" s="9"/>
      <c r="W126" s="5"/>
      <c r="X126" s="2">
        <f t="shared" si="10"/>
        <v>41.57321454037173</v>
      </c>
      <c r="Y126" s="7">
        <v>43.935769999999998</v>
      </c>
    </row>
    <row r="127" spans="1:25" x14ac:dyDescent="0.3">
      <c r="A127" s="2">
        <v>2023</v>
      </c>
      <c r="B127">
        <v>6.3878183012139296</v>
      </c>
      <c r="C127">
        <v>6.1197007257644396</v>
      </c>
      <c r="D127">
        <v>6.5353771843322299</v>
      </c>
      <c r="E127">
        <v>6.1050609895627801</v>
      </c>
      <c r="F127">
        <v>5.0091835257125199</v>
      </c>
      <c r="G127">
        <v>4.0657673697765597</v>
      </c>
      <c r="H127">
        <v>3.46298035072954</v>
      </c>
      <c r="I127">
        <v>3.426112509427</v>
      </c>
      <c r="J127">
        <v>1.7154467425934301</v>
      </c>
      <c r="K127">
        <v>4.8452006248578599</v>
      </c>
      <c r="L127">
        <v>4.02913577495372</v>
      </c>
      <c r="M127">
        <v>0.7470635192035</v>
      </c>
      <c r="N127">
        <v>5.43973351112784</v>
      </c>
      <c r="O127">
        <v>2.1503387764708601</v>
      </c>
      <c r="P127">
        <v>4.8619470635505602</v>
      </c>
      <c r="Q127">
        <v>4.0165871631609296</v>
      </c>
      <c r="S127" s="5">
        <f t="shared" si="7"/>
        <v>4.307340883277357</v>
      </c>
      <c r="T127" s="5">
        <f t="shared" si="8"/>
        <v>3.6372028221100923</v>
      </c>
      <c r="U127" s="7">
        <f>(Y127-32)*(5/9)</f>
        <v>5.3083055555555543</v>
      </c>
      <c r="V127" s="9"/>
      <c r="W127" s="5"/>
      <c r="X127" s="2">
        <f t="shared" si="10"/>
        <v>38.54696507979817</v>
      </c>
      <c r="Y127" s="7">
        <v>41.554949999999998</v>
      </c>
    </row>
    <row r="128" spans="1:25" x14ac:dyDescent="0.3">
      <c r="A128" s="2">
        <v>2024</v>
      </c>
      <c r="B128">
        <v>7.65103115279818</v>
      </c>
      <c r="C128">
        <v>7.2507988992936001</v>
      </c>
      <c r="D128">
        <v>7.8593641304578901</v>
      </c>
      <c r="E128">
        <v>7.6020337909948603</v>
      </c>
      <c r="F128">
        <v>6.3900626472762401</v>
      </c>
      <c r="G128">
        <v>5.1754924386251204</v>
      </c>
      <c r="H128">
        <v>4.5157938531187698</v>
      </c>
      <c r="I128">
        <v>5.7558019767042099</v>
      </c>
      <c r="J128">
        <v>3.45359188806815</v>
      </c>
      <c r="K128">
        <v>6.5799675266273701</v>
      </c>
      <c r="L128">
        <v>5.64327997022151</v>
      </c>
      <c r="M128">
        <v>2.0301579469865798</v>
      </c>
      <c r="N128">
        <v>7.1243381353675304</v>
      </c>
      <c r="O128">
        <v>3.5734527996980399</v>
      </c>
      <c r="P128">
        <v>6.5477358617417796</v>
      </c>
      <c r="Q128">
        <v>5.6996739614205296</v>
      </c>
      <c r="S128" s="5">
        <f t="shared" si="7"/>
        <v>5.8032860612125239</v>
      </c>
      <c r="T128" s="5">
        <f t="shared" si="8"/>
        <v>5.2299541768360438</v>
      </c>
      <c r="U128" s="5"/>
      <c r="V128" s="9"/>
      <c r="W128" s="5"/>
      <c r="X128" s="2">
        <f t="shared" si="10"/>
        <v>41.413917518304878</v>
      </c>
      <c r="Y128" s="10"/>
    </row>
    <row r="129" spans="1:25" x14ac:dyDescent="0.3">
      <c r="A129" s="2">
        <v>2025</v>
      </c>
      <c r="B129">
        <v>8.0651744938876497</v>
      </c>
      <c r="C129">
        <v>7.7011367373270501</v>
      </c>
      <c r="D129">
        <v>8.1352990570950201</v>
      </c>
      <c r="E129">
        <v>7.5553015774243502</v>
      </c>
      <c r="F129">
        <v>6.1560096219794396</v>
      </c>
      <c r="G129">
        <v>5.2824743081445602</v>
      </c>
      <c r="H129">
        <v>4.4667996710293902</v>
      </c>
      <c r="I129">
        <v>6.0758022894597996</v>
      </c>
      <c r="J129">
        <v>3.4962726704061802</v>
      </c>
      <c r="K129">
        <v>6.8497061655945997</v>
      </c>
      <c r="L129">
        <v>5.6106546713881302</v>
      </c>
      <c r="M129">
        <v>2.06302296037543</v>
      </c>
      <c r="N129">
        <v>7.2268444247441703</v>
      </c>
      <c r="O129">
        <v>3.8416727190148299</v>
      </c>
      <c r="P129">
        <v>6.7636173078458599</v>
      </c>
      <c r="Q129">
        <v>5.9403492106150297</v>
      </c>
      <c r="S129" s="5">
        <f t="shared" ref="S129" si="11">AVERAGE(B129:Q129)</f>
        <v>5.9518836178957173</v>
      </c>
      <c r="T129" s="5">
        <f t="shared" ref="T129" si="12">(B129*$B$3)+(C129*$C$3)+(D129*$D$3)+(E129*$E$3)+(F129*$F$3)+(G129*$G$3)+(H129*$H$3)+(I129*$I$3)+(J129*$J$3)+(K129*$K$3)+(L129*$L$3)+(M129*$M$3)+(N129*$N$3)+(O129*$O$3)+(P129*$P$3)+(Q129*$Q$3)</f>
        <v>5.3762918731645435</v>
      </c>
      <c r="U129" s="5"/>
      <c r="V129" s="5"/>
      <c r="W129" s="5"/>
      <c r="X129" s="2">
        <f t="shared" si="10"/>
        <v>41.677325371696178</v>
      </c>
      <c r="Y129" s="5"/>
    </row>
  </sheetData>
  <mergeCells count="4">
    <mergeCell ref="B1:H1"/>
    <mergeCell ref="I1:N1"/>
    <mergeCell ref="O1:Q1"/>
    <mergeCell ref="S1:S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94B1-1333-0841-90D0-2FCD82214880}">
  <dimension ref="A1:AE135"/>
  <sheetViews>
    <sheetView topLeftCell="A34" zoomScale="75" workbookViewId="0">
      <selection activeCell="AE5" sqref="AE5"/>
    </sheetView>
  </sheetViews>
  <sheetFormatPr defaultColWidth="10.796875" defaultRowHeight="15.6" x14ac:dyDescent="0.3"/>
  <cols>
    <col min="1" max="1" width="10.796875" style="2"/>
    <col min="2" max="2" width="11" style="2" customWidth="1"/>
    <col min="3" max="17" width="10.796875" style="2"/>
    <col min="18" max="18" width="14.796875" style="2" bestFit="1" customWidth="1"/>
    <col min="19" max="19" width="33.296875" style="2" customWidth="1"/>
    <col min="20" max="20" width="31.296875" style="2" customWidth="1"/>
    <col min="21" max="21" width="20.296875" style="2" bestFit="1" customWidth="1"/>
    <col min="22" max="22" width="20.296875" style="2" customWidth="1"/>
    <col min="23" max="23" width="23.5" style="2" bestFit="1" customWidth="1"/>
    <col min="24" max="27" width="10.796875" style="2"/>
    <col min="28" max="28" width="8.19921875" style="2" bestFit="1" customWidth="1"/>
    <col min="29" max="16384" width="10.796875" style="2"/>
  </cols>
  <sheetData>
    <row r="1" spans="1:31" x14ac:dyDescent="0.3">
      <c r="B1" s="31" t="s">
        <v>16</v>
      </c>
      <c r="C1" s="31"/>
      <c r="D1" s="31"/>
      <c r="E1" s="31"/>
      <c r="F1" s="31"/>
      <c r="G1" s="31"/>
      <c r="H1" s="31"/>
      <c r="I1" s="31" t="s">
        <v>17</v>
      </c>
      <c r="J1" s="31"/>
      <c r="K1" s="31"/>
      <c r="L1" s="31"/>
      <c r="M1" s="31"/>
      <c r="N1" s="31"/>
      <c r="O1" s="31" t="s">
        <v>18</v>
      </c>
      <c r="P1" s="31"/>
      <c r="Q1" s="31"/>
      <c r="R1" s="2" t="s">
        <v>24</v>
      </c>
      <c r="S1" s="30" t="s">
        <v>39</v>
      </c>
      <c r="T1" s="30" t="s">
        <v>31</v>
      </c>
      <c r="U1" s="2" t="s">
        <v>48</v>
      </c>
      <c r="V1" s="2">
        <f>AVERAGE(S6:S129)</f>
        <v>317.8772453483071</v>
      </c>
    </row>
    <row r="2" spans="1:31" x14ac:dyDescent="0.3">
      <c r="A2" s="2" t="s">
        <v>19</v>
      </c>
      <c r="B2" s="3">
        <v>45736780000000</v>
      </c>
      <c r="C2" s="3">
        <v>18702910000000</v>
      </c>
      <c r="D2" s="3">
        <v>47524750000000</v>
      </c>
      <c r="E2" s="3">
        <v>134171300000000</v>
      </c>
      <c r="F2" s="3">
        <v>56157330000000</v>
      </c>
      <c r="G2" s="3">
        <v>129152700000000</v>
      </c>
      <c r="H2" s="3">
        <v>70686060000000</v>
      </c>
      <c r="I2" s="3">
        <v>131276500000000</v>
      </c>
      <c r="J2" s="3">
        <v>423253600000000</v>
      </c>
      <c r="K2" s="3">
        <v>680367800000000</v>
      </c>
      <c r="L2" s="3">
        <v>554497600000000</v>
      </c>
      <c r="M2" s="3">
        <v>451295900000000</v>
      </c>
      <c r="N2" s="3">
        <v>160663000000000</v>
      </c>
      <c r="O2" s="3">
        <v>420030100000000</v>
      </c>
      <c r="P2" s="3">
        <v>355771100000000</v>
      </c>
      <c r="Q2" s="3">
        <v>643761000000000</v>
      </c>
      <c r="R2" s="8">
        <f>SUM(B2:Q2)</f>
        <v>4323048430000000</v>
      </c>
      <c r="S2" s="30"/>
      <c r="T2" s="30"/>
      <c r="U2" s="2" t="s">
        <v>49</v>
      </c>
      <c r="V2" s="2">
        <f>AVERAGE(U6:U129)</f>
        <v>307.53073602131059</v>
      </c>
    </row>
    <row r="3" spans="1:31" x14ac:dyDescent="0.3">
      <c r="A3" s="2" t="s">
        <v>51</v>
      </c>
      <c r="B3" s="6"/>
      <c r="C3" s="6"/>
      <c r="D3" s="6"/>
      <c r="E3" s="6"/>
      <c r="F3" s="6"/>
      <c r="G3" s="6"/>
      <c r="H3" s="6"/>
      <c r="I3" s="6"/>
      <c r="J3" s="6"/>
      <c r="K3" s="6"/>
      <c r="L3" s="6"/>
      <c r="M3" s="6"/>
      <c r="N3" s="6"/>
      <c r="O3" s="6"/>
      <c r="P3" s="6"/>
      <c r="Q3" s="6"/>
      <c r="R3" s="8"/>
      <c r="S3" s="30"/>
      <c r="T3" s="30"/>
    </row>
    <row r="4" spans="1:31" x14ac:dyDescent="0.3">
      <c r="B4" s="2" t="s">
        <v>0</v>
      </c>
      <c r="C4" s="2" t="s">
        <v>1</v>
      </c>
      <c r="D4" s="2" t="s">
        <v>2</v>
      </c>
      <c r="E4" s="2" t="s">
        <v>3</v>
      </c>
      <c r="F4" s="2" t="s">
        <v>4</v>
      </c>
      <c r="G4" s="2" t="s">
        <v>5</v>
      </c>
      <c r="H4" s="2" t="s">
        <v>6</v>
      </c>
      <c r="I4" s="2" t="s">
        <v>7</v>
      </c>
      <c r="J4" s="2" t="s">
        <v>8</v>
      </c>
      <c r="K4" s="2" t="s">
        <v>9</v>
      </c>
      <c r="L4" s="2" t="s">
        <v>10</v>
      </c>
      <c r="M4" s="2" t="s">
        <v>11</v>
      </c>
      <c r="N4" s="2" t="s">
        <v>12</v>
      </c>
      <c r="O4" s="2" t="s">
        <v>13</v>
      </c>
      <c r="P4" s="2" t="s">
        <v>14</v>
      </c>
      <c r="Q4" s="2" t="s">
        <v>15</v>
      </c>
      <c r="S4" s="30"/>
      <c r="T4" s="30"/>
      <c r="U4" s="2" t="s">
        <v>20</v>
      </c>
      <c r="V4" s="2" t="s">
        <v>50</v>
      </c>
      <c r="W4" s="2" t="s">
        <v>25</v>
      </c>
    </row>
    <row r="5" spans="1:31" x14ac:dyDescent="0.3">
      <c r="A5" s="2">
        <v>1901</v>
      </c>
      <c r="B5" t="s">
        <v>27</v>
      </c>
      <c r="C5" s="2" t="s">
        <v>27</v>
      </c>
      <c r="D5" t="s">
        <v>27</v>
      </c>
      <c r="E5" t="s">
        <v>27</v>
      </c>
      <c r="F5" t="s">
        <v>27</v>
      </c>
      <c r="G5" t="s">
        <v>27</v>
      </c>
      <c r="H5" t="s">
        <v>27</v>
      </c>
      <c r="I5" s="2" t="s">
        <v>27</v>
      </c>
      <c r="J5" s="2" t="s">
        <v>27</v>
      </c>
      <c r="K5" s="2" t="s">
        <v>27</v>
      </c>
      <c r="L5" s="2" t="s">
        <v>27</v>
      </c>
      <c r="M5" s="2" t="s">
        <v>27</v>
      </c>
      <c r="N5" s="2" t="s">
        <v>27</v>
      </c>
      <c r="O5" s="2" t="s">
        <v>27</v>
      </c>
      <c r="P5" s="2" t="s">
        <v>27</v>
      </c>
      <c r="Q5" s="2" t="s">
        <v>27</v>
      </c>
      <c r="T5" s="3"/>
      <c r="AA5" s="2" t="s">
        <v>52</v>
      </c>
      <c r="AB5" s="2" t="s">
        <v>53</v>
      </c>
      <c r="AE5" s="2" t="s">
        <v>57</v>
      </c>
    </row>
    <row r="6" spans="1:31" x14ac:dyDescent="0.3">
      <c r="A6" s="2">
        <v>1902</v>
      </c>
      <c r="B6">
        <v>245.225780184</v>
      </c>
      <c r="C6" s="2" t="s">
        <v>27</v>
      </c>
      <c r="D6">
        <v>61.172977795999998</v>
      </c>
      <c r="E6">
        <v>112.50124889999999</v>
      </c>
      <c r="F6">
        <v>205.9689104</v>
      </c>
      <c r="G6">
        <v>443.40053933500002</v>
      </c>
      <c r="H6" t="s">
        <v>27</v>
      </c>
      <c r="I6" s="2" t="s">
        <v>27</v>
      </c>
      <c r="J6" s="2" t="s">
        <v>27</v>
      </c>
      <c r="K6" s="2" t="s">
        <v>27</v>
      </c>
      <c r="L6" s="2" t="s">
        <v>27</v>
      </c>
      <c r="M6" s="2" t="s">
        <v>27</v>
      </c>
      <c r="N6" s="2" t="s">
        <v>27</v>
      </c>
      <c r="O6" s="2" t="s">
        <v>27</v>
      </c>
      <c r="P6" s="2" t="s">
        <v>27</v>
      </c>
      <c r="Q6" s="2" t="s">
        <v>27</v>
      </c>
      <c r="S6" s="2">
        <f>AVERAGEIF(B6:Q6, "&lt;&gt;NA")</f>
        <v>213.65389132300001</v>
      </c>
      <c r="T6" s="24">
        <f t="shared" ref="T6:T37" si="0">((S6-$V$1)/$V$1)</f>
        <v>-0.32787296212758671</v>
      </c>
      <c r="U6" s="2" cm="1">
        <f t="array" ref="U6">SUMPRODUCT(B$2:Q$2, B6:Q6, --ISNUMBER(B6:Q6)) /
 SUMPRODUCT(B$2:Q$2, --ISNUMBER(B6:Q6))</f>
        <v>237.55843470992008</v>
      </c>
      <c r="V6" s="2">
        <f>((U6-$V$2)/$V$2)</f>
        <v>-0.22752945678425365</v>
      </c>
      <c r="W6" s="7">
        <v>-33.067271368828003</v>
      </c>
      <c r="X6" s="2">
        <f>W6/100</f>
        <v>-0.33067271368828005</v>
      </c>
      <c r="AA6" s="2" cm="1">
        <f t="array" ref="AA6">_xlfn.STDEV.S( _xlfn._xlws.FILTER(B6:Q6, ISNUMBER(B6:Q6)) )</f>
        <v>147.75118563819697</v>
      </c>
      <c r="AB6" s="2" cm="1">
        <f t="array" ref="AB6">_xlfn.STDEV.S(_xlfn._xlws.FILTER(B6:Q6, ISNUMBER(B6:Q6))) /
 AVERAGE(_xlfn._xlws.FILTER(B6:Q6, ISNUMBER(B6:Q6)))</f>
        <v>0.69154455705572937</v>
      </c>
      <c r="AE6" s="2">
        <f>V6</f>
        <v>-0.22752945678425365</v>
      </c>
    </row>
    <row r="7" spans="1:31" x14ac:dyDescent="0.3">
      <c r="A7" s="2">
        <v>1903</v>
      </c>
      <c r="B7">
        <v>246.635668557</v>
      </c>
      <c r="C7" s="2" t="s">
        <v>27</v>
      </c>
      <c r="D7">
        <v>69.030253259999995</v>
      </c>
      <c r="E7">
        <v>134.73492904599999</v>
      </c>
      <c r="F7">
        <v>187.99881181800001</v>
      </c>
      <c r="G7">
        <v>263.18337356699999</v>
      </c>
      <c r="H7" t="s">
        <v>27</v>
      </c>
      <c r="I7" s="2" t="s">
        <v>27</v>
      </c>
      <c r="J7" s="2" t="s">
        <v>27</v>
      </c>
      <c r="K7" s="2" t="s">
        <v>27</v>
      </c>
      <c r="L7" s="2" t="s">
        <v>27</v>
      </c>
      <c r="M7" s="2" t="s">
        <v>27</v>
      </c>
      <c r="N7" s="2" t="s">
        <v>27</v>
      </c>
      <c r="O7" s="2" t="s">
        <v>27</v>
      </c>
      <c r="P7" s="2" t="s">
        <v>27</v>
      </c>
      <c r="Q7" s="2" t="s">
        <v>27</v>
      </c>
      <c r="S7" s="2">
        <f t="shared" ref="S7:S68" si="1">AVERAGEIF(B7:Q7, "&lt;&gt;NA")</f>
        <v>180.3166072496</v>
      </c>
      <c r="T7" s="24">
        <f t="shared" si="0"/>
        <v>-0.43274767260543617</v>
      </c>
      <c r="U7" s="2" cm="1">
        <f t="array" ref="U7">SUMPRODUCT(B$2:Q$2, B7:Q7, --ISNUMBER(B7:Q7)) /
 SUMPRODUCT(B$2:Q$2, --ISNUMBER(B7:Q7))</f>
        <v>187.00961182764061</v>
      </c>
      <c r="V7" s="2">
        <f t="shared" ref="V7:V70" si="2">((U7-$V$2)/$V$2)</f>
        <v>-0.39189944313507047</v>
      </c>
      <c r="W7" s="7">
        <v>-43.511056756344502</v>
      </c>
      <c r="X7" s="2">
        <f t="shared" ref="X7:X70" si="3">W7/100</f>
        <v>-0.43511056756344502</v>
      </c>
      <c r="AA7" s="2" cm="1">
        <f t="array" ref="AA7">_xlfn.STDEV.S( _xlfn._xlws.FILTER(B7:Q7, ISNUMBER(B7:Q7)) )</f>
        <v>80.290841775047895</v>
      </c>
      <c r="AB7" s="2" cm="1">
        <f t="array" ref="AB7">_xlfn.STDEV.S(_xlfn._xlws.FILTER(B7:Q7, ISNUMBER(B7:Q7))) /
 AVERAGE(_xlfn._xlws.FILTER(B7:Q7, ISNUMBER(B7:Q7)))</f>
        <v>0.44527702134449965</v>
      </c>
      <c r="AE7" s="2">
        <f t="shared" ref="AE7:AE70" si="4">V7</f>
        <v>-0.39189944313507047</v>
      </c>
    </row>
    <row r="8" spans="1:31" x14ac:dyDescent="0.3">
      <c r="A8" s="2">
        <v>1904</v>
      </c>
      <c r="B8">
        <v>336.04643774099998</v>
      </c>
      <c r="C8" s="2" t="s">
        <v>27</v>
      </c>
      <c r="D8">
        <v>62.291721127000002</v>
      </c>
      <c r="E8">
        <v>253.26294628799999</v>
      </c>
      <c r="F8">
        <v>292.34481693700002</v>
      </c>
      <c r="G8">
        <v>609.77576315399995</v>
      </c>
      <c r="H8" t="s">
        <v>27</v>
      </c>
      <c r="I8" s="2" t="s">
        <v>27</v>
      </c>
      <c r="J8" s="2" t="s">
        <v>27</v>
      </c>
      <c r="K8" s="2" t="s">
        <v>27</v>
      </c>
      <c r="L8" s="2" t="s">
        <v>27</v>
      </c>
      <c r="M8" s="2" t="s">
        <v>27</v>
      </c>
      <c r="N8" s="2" t="s">
        <v>27</v>
      </c>
      <c r="O8" s="2" t="s">
        <v>27</v>
      </c>
      <c r="P8" s="2" t="s">
        <v>27</v>
      </c>
      <c r="Q8" s="2" t="s">
        <v>27</v>
      </c>
      <c r="S8" s="2">
        <f t="shared" si="1"/>
        <v>310.74433704940003</v>
      </c>
      <c r="T8" s="24">
        <f t="shared" si="0"/>
        <v>-2.2439191239031087E-2</v>
      </c>
      <c r="U8" s="2" cm="1">
        <f t="array" ref="U8">SUMPRODUCT(B$2:Q$2, B8:Q8, --ISNUMBER(B8:Q8)) /
 SUMPRODUCT(B$2:Q$2, --ISNUMBER(B8:Q8))</f>
        <v>357.32220728442314</v>
      </c>
      <c r="V8" s="2">
        <f t="shared" si="2"/>
        <v>0.16190730041260726</v>
      </c>
      <c r="W8" s="7">
        <v>-2.6511230073631702</v>
      </c>
      <c r="X8" s="2">
        <f t="shared" si="3"/>
        <v>-2.6511230073631702E-2</v>
      </c>
      <c r="AA8" s="2" cm="1">
        <f t="array" ref="AA8">_xlfn.STDEV.S( _xlfn._xlws.FILTER(B8:Q8, ISNUMBER(B8:Q8)) )</f>
        <v>197.12391095480626</v>
      </c>
      <c r="AB8" s="2" cm="1">
        <f t="array" ref="AB8">_xlfn.STDEV.S(_xlfn._xlws.FILTER(B8:Q8, ISNUMBER(B8:Q8))) /
 AVERAGE(_xlfn._xlws.FILTER(B8:Q8, ISNUMBER(B8:Q8)))</f>
        <v>0.63436042898335698</v>
      </c>
      <c r="AE8" s="2">
        <f t="shared" si="4"/>
        <v>0.16190730041260726</v>
      </c>
    </row>
    <row r="9" spans="1:31" x14ac:dyDescent="0.3">
      <c r="A9" s="2">
        <v>1905</v>
      </c>
      <c r="B9">
        <v>248.94791761900001</v>
      </c>
      <c r="C9" s="2" t="s">
        <v>27</v>
      </c>
      <c r="D9">
        <v>51.896533859000002</v>
      </c>
      <c r="E9">
        <v>90.291528462000002</v>
      </c>
      <c r="F9">
        <v>217.442739176</v>
      </c>
      <c r="G9">
        <v>405.72239146599998</v>
      </c>
      <c r="H9" t="s">
        <v>27</v>
      </c>
      <c r="I9" s="2" t="s">
        <v>27</v>
      </c>
      <c r="J9" s="2" t="s">
        <v>27</v>
      </c>
      <c r="K9" s="2" t="s">
        <v>27</v>
      </c>
      <c r="L9" s="2" t="s">
        <v>27</v>
      </c>
      <c r="M9" s="2" t="s">
        <v>27</v>
      </c>
      <c r="N9" s="2" t="s">
        <v>27</v>
      </c>
      <c r="O9" s="2">
        <v>349.673321910857</v>
      </c>
      <c r="P9" s="2" t="s">
        <v>27</v>
      </c>
      <c r="Q9" s="2" t="s">
        <v>27</v>
      </c>
      <c r="S9" s="2">
        <f t="shared" si="1"/>
        <v>227.32907208214283</v>
      </c>
      <c r="T9" s="24">
        <f t="shared" si="0"/>
        <v>-0.28485264230520202</v>
      </c>
      <c r="U9" s="2" cm="1">
        <f t="array" ref="U9">SUMPRODUCT(B$2:Q$2, B9:Q9, --ISNUMBER(B9:Q9)) /
 SUMPRODUCT(B$2:Q$2, --ISNUMBER(B9:Q9))</f>
        <v>285.13347026505073</v>
      </c>
      <c r="V9" s="2">
        <f t="shared" si="2"/>
        <v>-7.2829356980785881E-2</v>
      </c>
      <c r="W9" s="7">
        <v>-28.798469745808202</v>
      </c>
      <c r="X9" s="2">
        <f t="shared" si="3"/>
        <v>-0.28798469745808203</v>
      </c>
      <c r="AA9" s="2" cm="1">
        <f t="array" ref="AA9">_xlfn.STDEV.S( _xlfn._xlws.FILTER(B9:Q9, ISNUMBER(B9:Q9)) )</f>
        <v>139.22160016066201</v>
      </c>
      <c r="AB9" s="2" cm="1">
        <f t="array" ref="AB9">_xlfn.STDEV.S(_xlfn._xlws.FILTER(B9:Q9, ISNUMBER(B9:Q9))) /
 AVERAGE(_xlfn._xlws.FILTER(B9:Q9, ISNUMBER(B9:Q9)))</f>
        <v>0.61242321048297699</v>
      </c>
      <c r="AE9" s="2">
        <f t="shared" si="4"/>
        <v>-7.2829356980785881E-2</v>
      </c>
    </row>
    <row r="10" spans="1:31" x14ac:dyDescent="0.3">
      <c r="A10" s="2">
        <v>1906</v>
      </c>
      <c r="B10">
        <v>366.60420073900002</v>
      </c>
      <c r="C10" s="2" t="s">
        <v>27</v>
      </c>
      <c r="D10">
        <v>101.29781983399999</v>
      </c>
      <c r="E10">
        <v>152.747529794</v>
      </c>
      <c r="F10">
        <v>250.863118095</v>
      </c>
      <c r="G10">
        <v>442.05729674100002</v>
      </c>
      <c r="H10" t="s">
        <v>27</v>
      </c>
      <c r="I10" s="2" t="s">
        <v>27</v>
      </c>
      <c r="J10" s="2" t="s">
        <v>27</v>
      </c>
      <c r="K10" s="2" t="s">
        <v>27</v>
      </c>
      <c r="L10" s="2" t="s">
        <v>27</v>
      </c>
      <c r="M10" s="2" t="s">
        <v>27</v>
      </c>
      <c r="N10" s="2" t="s">
        <v>27</v>
      </c>
      <c r="O10" s="2">
        <v>548.53881029485694</v>
      </c>
      <c r="P10" s="2" t="s">
        <v>27</v>
      </c>
      <c r="Q10" s="2" t="s">
        <v>27</v>
      </c>
      <c r="S10" s="2">
        <f t="shared" si="1"/>
        <v>310.35146258297618</v>
      </c>
      <c r="T10" s="24">
        <f t="shared" si="0"/>
        <v>-2.3675122631331171E-2</v>
      </c>
      <c r="U10" s="2" cm="1">
        <f t="array" ref="U10">SUMPRODUCT(B$2:Q$2, B10:Q10, --ISNUMBER(B10:Q10)) /
 SUMPRODUCT(B$2:Q$2, --ISNUMBER(B10:Q10))</f>
        <v>412.66864808170777</v>
      </c>
      <c r="V10" s="2">
        <f t="shared" si="2"/>
        <v>0.34187773690728451</v>
      </c>
      <c r="W10" s="7">
        <v>-2.7982187099569802</v>
      </c>
      <c r="X10" s="2">
        <f t="shared" si="3"/>
        <v>-2.7982187099569802E-2</v>
      </c>
      <c r="AA10" s="2" cm="1">
        <f t="array" ref="AA10">_xlfn.STDEV.S( _xlfn._xlws.FILTER(B10:Q10, ISNUMBER(B10:Q10)) )</f>
        <v>172.81510247569236</v>
      </c>
      <c r="AB10" s="2" cm="1">
        <f t="array" ref="AB10">_xlfn.STDEV.S(_xlfn._xlws.FILTER(B10:Q10, ISNUMBER(B10:Q10))) /
 AVERAGE(_xlfn._xlws.FILTER(B10:Q10, ISNUMBER(B10:Q10)))</f>
        <v>0.55683675867803639</v>
      </c>
      <c r="AE10" s="2">
        <f t="shared" si="4"/>
        <v>0.34187773690728451</v>
      </c>
    </row>
    <row r="11" spans="1:31" x14ac:dyDescent="0.3">
      <c r="A11" s="2">
        <v>1907</v>
      </c>
      <c r="B11">
        <v>561.55473344400002</v>
      </c>
      <c r="C11" s="2" t="s">
        <v>27</v>
      </c>
      <c r="D11">
        <v>169.24962349899999</v>
      </c>
      <c r="E11">
        <v>358.659912636</v>
      </c>
      <c r="F11">
        <v>401.77373783000002</v>
      </c>
      <c r="G11">
        <v>895.32181698600004</v>
      </c>
      <c r="H11" t="s">
        <v>27</v>
      </c>
      <c r="I11" s="2" t="s">
        <v>27</v>
      </c>
      <c r="J11" s="2" t="s">
        <v>27</v>
      </c>
      <c r="K11" s="2" t="s">
        <v>27</v>
      </c>
      <c r="L11" s="2" t="s">
        <v>27</v>
      </c>
      <c r="M11" s="2" t="s">
        <v>27</v>
      </c>
      <c r="N11" s="2" t="s">
        <v>27</v>
      </c>
      <c r="O11" s="2">
        <v>881.55797035885701</v>
      </c>
      <c r="P11" s="2" t="s">
        <v>27</v>
      </c>
      <c r="Q11" s="2" t="s">
        <v>27</v>
      </c>
      <c r="S11" s="2">
        <f t="shared" si="1"/>
        <v>544.6862991256429</v>
      </c>
      <c r="T11" s="24">
        <f t="shared" si="0"/>
        <v>0.71351144851156212</v>
      </c>
      <c r="U11" s="2" cm="1">
        <f t="array" ref="U11">SUMPRODUCT(B$2:Q$2, B11:Q11, --ISNUMBER(B11:Q11)) /
 SUMPRODUCT(B$2:Q$2, --ISNUMBER(B11:Q11))</f>
        <v>708.86760173031769</v>
      </c>
      <c r="V11" s="2">
        <f t="shared" si="2"/>
        <v>1.3050300952071214</v>
      </c>
      <c r="W11" s="7">
        <v>70.5987816246856</v>
      </c>
      <c r="X11" s="2">
        <f t="shared" si="3"/>
        <v>0.70598781624685603</v>
      </c>
      <c r="AA11" s="2" cm="1">
        <f t="array" ref="AA11">_xlfn.STDEV.S( _xlfn._xlws.FILTER(B11:Q11, ISNUMBER(B11:Q11)) )</f>
        <v>294.17506603825962</v>
      </c>
      <c r="AB11" s="2" cm="1">
        <f t="array" ref="AB11">_xlfn.STDEV.S(_xlfn._xlws.FILTER(B11:Q11, ISNUMBER(B11:Q11))) /
 AVERAGE(_xlfn._xlws.FILTER(B11:Q11, ISNUMBER(B11:Q11)))</f>
        <v>0.54008163324556502</v>
      </c>
      <c r="AE11" s="2">
        <f t="shared" si="4"/>
        <v>1.3050300952071214</v>
      </c>
    </row>
    <row r="12" spans="1:31" x14ac:dyDescent="0.3">
      <c r="A12" s="2">
        <v>1908</v>
      </c>
      <c r="B12">
        <v>398.87622938800001</v>
      </c>
      <c r="C12" s="2" t="s">
        <v>27</v>
      </c>
      <c r="D12">
        <v>88.996384109999994</v>
      </c>
      <c r="E12">
        <v>163.42792242499999</v>
      </c>
      <c r="F12">
        <v>338.56188546300001</v>
      </c>
      <c r="G12">
        <v>558.49526311800003</v>
      </c>
      <c r="H12" t="s">
        <v>27</v>
      </c>
      <c r="I12" s="2" t="s">
        <v>27</v>
      </c>
      <c r="J12" s="2" t="s">
        <v>27</v>
      </c>
      <c r="K12" s="2" t="s">
        <v>27</v>
      </c>
      <c r="L12" s="2" t="s">
        <v>27</v>
      </c>
      <c r="M12" s="2" t="s">
        <v>27</v>
      </c>
      <c r="N12" s="2" t="s">
        <v>27</v>
      </c>
      <c r="O12" s="2">
        <v>464.13209285485698</v>
      </c>
      <c r="P12" s="2" t="s">
        <v>27</v>
      </c>
      <c r="Q12" s="2" t="s">
        <v>27</v>
      </c>
      <c r="S12" s="2">
        <f t="shared" si="1"/>
        <v>335.4149628931429</v>
      </c>
      <c r="T12" s="24">
        <f t="shared" si="0"/>
        <v>5.5171352468526731E-2</v>
      </c>
      <c r="U12" s="2" cm="1">
        <f t="array" ref="U12">SUMPRODUCT(B$2:Q$2, B12:Q12, --ISNUMBER(B12:Q12)) /
 SUMPRODUCT(B$2:Q$2, --ISNUMBER(B12:Q12))</f>
        <v>396.85910807652124</v>
      </c>
      <c r="V12" s="2">
        <f t="shared" si="2"/>
        <v>0.29046973714204805</v>
      </c>
      <c r="W12" s="7">
        <v>5.0433018356323096</v>
      </c>
      <c r="X12" s="2">
        <f t="shared" si="3"/>
        <v>5.0433018356323099E-2</v>
      </c>
      <c r="AA12" s="2" cm="1">
        <f t="array" ref="AA12">_xlfn.STDEV.S( _xlfn._xlws.FILTER(B12:Q12, ISNUMBER(B12:Q12)) )</f>
        <v>179.26059992049537</v>
      </c>
      <c r="AB12" s="2" cm="1">
        <f t="array" ref="AB12">_xlfn.STDEV.S(_xlfn._xlws.FILTER(B12:Q12, ISNUMBER(B12:Q12))) /
 AVERAGE(_xlfn._xlws.FILTER(B12:Q12, ISNUMBER(B12:Q12)))</f>
        <v>0.53444425488437297</v>
      </c>
      <c r="AE12" s="2">
        <f t="shared" si="4"/>
        <v>0.29046973714204805</v>
      </c>
    </row>
    <row r="13" spans="1:31" x14ac:dyDescent="0.3">
      <c r="A13" s="2">
        <v>1909</v>
      </c>
      <c r="B13">
        <v>305.158575439</v>
      </c>
      <c r="C13" s="2" t="s">
        <v>27</v>
      </c>
      <c r="D13">
        <v>37.421014935999999</v>
      </c>
      <c r="E13">
        <v>398.804419333</v>
      </c>
      <c r="F13">
        <v>461.84630932599998</v>
      </c>
      <c r="G13">
        <v>919.44726266700002</v>
      </c>
      <c r="H13" t="s">
        <v>27</v>
      </c>
      <c r="I13" s="2" t="s">
        <v>27</v>
      </c>
      <c r="J13" s="2" t="s">
        <v>27</v>
      </c>
      <c r="K13" s="2" t="s">
        <v>27</v>
      </c>
      <c r="L13" s="2" t="s">
        <v>27</v>
      </c>
      <c r="M13" s="2" t="s">
        <v>27</v>
      </c>
      <c r="N13" s="2" t="s">
        <v>27</v>
      </c>
      <c r="O13" s="2">
        <v>812.79183513600003</v>
      </c>
      <c r="P13" s="2" t="s">
        <v>27</v>
      </c>
      <c r="Q13" s="2" t="s">
        <v>27</v>
      </c>
      <c r="S13" s="2">
        <f t="shared" si="1"/>
        <v>489.24490280616664</v>
      </c>
      <c r="T13" s="24">
        <f t="shared" si="0"/>
        <v>0.53910010850285039</v>
      </c>
      <c r="U13" s="2" cm="1">
        <f t="array" ref="U13">SUMPRODUCT(B$2:Q$2, B13:Q13, --ISNUMBER(B13:Q13)) /
 SUMPRODUCT(B$2:Q$2, --ISNUMBER(B13:Q13))</f>
        <v>666.83924304135974</v>
      </c>
      <c r="V13" s="2">
        <f t="shared" si="2"/>
        <v>1.1683661661550166</v>
      </c>
      <c r="W13" s="7">
        <v>53.2333097107526</v>
      </c>
      <c r="X13" s="2">
        <f t="shared" si="3"/>
        <v>0.53233309710752597</v>
      </c>
      <c r="AA13" s="2" cm="1">
        <f t="array" ref="AA13">_xlfn.STDEV.S( _xlfn._xlws.FILTER(B13:Q13, ISNUMBER(B13:Q13)) )</f>
        <v>327.63377524274642</v>
      </c>
      <c r="AB13" s="2" cm="1">
        <f t="array" ref="AB13">_xlfn.STDEV.S(_xlfn._xlws.FILTER(B13:Q13, ISNUMBER(B13:Q13))) /
 AVERAGE(_xlfn._xlws.FILTER(B13:Q13, ISNUMBER(B13:Q13)))</f>
        <v>0.66967233253434888</v>
      </c>
      <c r="AE13" s="2">
        <f t="shared" si="4"/>
        <v>1.1683661661550166</v>
      </c>
    </row>
    <row r="14" spans="1:31" x14ac:dyDescent="0.3">
      <c r="A14" s="2">
        <v>1910</v>
      </c>
      <c r="B14">
        <v>326.21419455400002</v>
      </c>
      <c r="C14" s="2" t="s">
        <v>27</v>
      </c>
      <c r="D14">
        <v>28.507214416</v>
      </c>
      <c r="E14">
        <v>154.31652615799999</v>
      </c>
      <c r="F14">
        <v>356.462474826</v>
      </c>
      <c r="G14">
        <v>762.53612610200003</v>
      </c>
      <c r="H14">
        <v>157.403320235</v>
      </c>
      <c r="I14" s="2" t="s">
        <v>27</v>
      </c>
      <c r="J14" s="2" t="s">
        <v>27</v>
      </c>
      <c r="K14" s="2" t="s">
        <v>27</v>
      </c>
      <c r="L14" s="2" t="s">
        <v>27</v>
      </c>
      <c r="M14" s="2" t="s">
        <v>27</v>
      </c>
      <c r="N14" s="2" t="s">
        <v>27</v>
      </c>
      <c r="O14" s="2">
        <v>538.24573439999995</v>
      </c>
      <c r="P14" s="2" t="s">
        <v>27</v>
      </c>
      <c r="Q14" s="2" t="s">
        <v>27</v>
      </c>
      <c r="S14" s="2">
        <f t="shared" si="1"/>
        <v>331.95508438442852</v>
      </c>
      <c r="T14" s="24">
        <f t="shared" si="0"/>
        <v>4.4287029795718566E-2</v>
      </c>
      <c r="U14" s="2" cm="1">
        <f t="array" ref="U14">SUMPRODUCT(B$2:Q$2, B14:Q14, --ISNUMBER(B14:Q14)) /
 SUMPRODUCT(B$2:Q$2, --ISNUMBER(B14:Q14))</f>
        <v>434.64820857240773</v>
      </c>
      <c r="V14" s="2">
        <f t="shared" si="2"/>
        <v>0.41334883854434773</v>
      </c>
      <c r="W14" s="7">
        <v>3.9735041825895299</v>
      </c>
      <c r="X14" s="2">
        <f t="shared" si="3"/>
        <v>3.9735041825895295E-2</v>
      </c>
      <c r="AA14" s="2" cm="1">
        <f t="array" ref="AA14">_xlfn.STDEV.S( _xlfn._xlws.FILTER(B14:Q14, ISNUMBER(B14:Q14)) )</f>
        <v>252.55158591779332</v>
      </c>
      <c r="AB14" s="2" cm="1">
        <f t="array" ref="AB14">_xlfn.STDEV.S(_xlfn._xlws.FILTER(B14:Q14, ISNUMBER(B14:Q14))) /
 AVERAGE(_xlfn._xlws.FILTER(B14:Q14, ISNUMBER(B14:Q14)))</f>
        <v>0.76080047511885651</v>
      </c>
      <c r="AE14" s="2">
        <f t="shared" si="4"/>
        <v>0.41334883854434773</v>
      </c>
    </row>
    <row r="15" spans="1:31" x14ac:dyDescent="0.3">
      <c r="A15" s="2">
        <v>1911</v>
      </c>
      <c r="B15">
        <v>183.42642348499999</v>
      </c>
      <c r="C15" s="2" t="s">
        <v>27</v>
      </c>
      <c r="D15">
        <v>42.215374996999998</v>
      </c>
      <c r="E15">
        <v>104.911474136</v>
      </c>
      <c r="F15">
        <v>169.27241803800001</v>
      </c>
      <c r="G15">
        <v>573.499167683</v>
      </c>
      <c r="H15">
        <v>136.61940254300001</v>
      </c>
      <c r="I15" s="2" t="s">
        <v>27</v>
      </c>
      <c r="J15" s="2" t="s">
        <v>27</v>
      </c>
      <c r="K15" s="2" t="s">
        <v>27</v>
      </c>
      <c r="L15" s="2" t="s">
        <v>27</v>
      </c>
      <c r="M15" s="2" t="s">
        <v>27</v>
      </c>
      <c r="N15" s="2" t="s">
        <v>27</v>
      </c>
      <c r="O15" s="2">
        <v>541.85733997714203</v>
      </c>
      <c r="P15" s="2" t="s">
        <v>27</v>
      </c>
      <c r="Q15" s="2" t="s">
        <v>27</v>
      </c>
      <c r="S15" s="2">
        <f t="shared" si="1"/>
        <v>250.25737155130602</v>
      </c>
      <c r="T15" s="24">
        <f t="shared" si="0"/>
        <v>-0.21272322818485503</v>
      </c>
      <c r="U15" s="2" cm="1">
        <f t="array" ref="U15">SUMPRODUCT(B$2:Q$2, B15:Q15, --ISNUMBER(B15:Q15)) /
 SUMPRODUCT(B$2:Q$2, --ISNUMBER(B15:Q15))</f>
        <v>382.19780125176476</v>
      </c>
      <c r="V15" s="2">
        <f t="shared" si="2"/>
        <v>0.24279545581837406</v>
      </c>
      <c r="W15" s="7">
        <v>-21.620599289788199</v>
      </c>
      <c r="X15" s="2">
        <f t="shared" si="3"/>
        <v>-0.216205992897882</v>
      </c>
      <c r="AA15" s="2" cm="1">
        <f t="array" ref="AA15">_xlfn.STDEV.S( _xlfn._xlws.FILTER(B15:Q15, ISNUMBER(B15:Q15)) )</f>
        <v>215.19805950700427</v>
      </c>
      <c r="AB15" s="2" cm="1">
        <f t="array" ref="AB15">_xlfn.STDEV.S(_xlfn._xlws.FILTER(B15:Q15, ISNUMBER(B15:Q15))) /
 AVERAGE(_xlfn._xlws.FILTER(B15:Q15, ISNUMBER(B15:Q15)))</f>
        <v>0.85990697565880037</v>
      </c>
      <c r="AE15" s="2">
        <f t="shared" si="4"/>
        <v>0.24279545581837406</v>
      </c>
    </row>
    <row r="16" spans="1:31" x14ac:dyDescent="0.3">
      <c r="A16" s="2">
        <v>1912</v>
      </c>
      <c r="B16">
        <v>325.656348159</v>
      </c>
      <c r="C16" s="2" t="s">
        <v>27</v>
      </c>
      <c r="D16">
        <v>143.669747814</v>
      </c>
      <c r="E16">
        <v>245.64830424900001</v>
      </c>
      <c r="F16">
        <v>155.208824631</v>
      </c>
      <c r="G16">
        <v>651.97590454399995</v>
      </c>
      <c r="H16">
        <v>924.63757162800005</v>
      </c>
      <c r="I16" s="2" t="s">
        <v>27</v>
      </c>
      <c r="J16" s="2" t="s">
        <v>27</v>
      </c>
      <c r="K16" s="2" t="s">
        <v>27</v>
      </c>
      <c r="L16" s="2" t="s">
        <v>27</v>
      </c>
      <c r="M16" s="2" t="s">
        <v>27</v>
      </c>
      <c r="N16" s="2" t="s">
        <v>27</v>
      </c>
      <c r="O16" s="2">
        <v>594.46445282742798</v>
      </c>
      <c r="P16" s="2" t="s">
        <v>27</v>
      </c>
      <c r="Q16" s="2" t="s">
        <v>27</v>
      </c>
      <c r="S16" s="2">
        <f t="shared" si="1"/>
        <v>434.4658791217754</v>
      </c>
      <c r="T16" s="24">
        <f t="shared" si="0"/>
        <v>0.36677250567500935</v>
      </c>
      <c r="U16" s="2" cm="1">
        <f t="array" ref="U16">SUMPRODUCT(B$2:Q$2, B16:Q16, --ISNUMBER(B16:Q16)) /
 SUMPRODUCT(B$2:Q$2, --ISNUMBER(B16:Q16))</f>
        <v>512.09163415854198</v>
      </c>
      <c r="V16" s="2">
        <f t="shared" si="2"/>
        <v>0.66517220614675787</v>
      </c>
      <c r="W16" s="7">
        <v>36.066074302816098</v>
      </c>
      <c r="X16" s="2">
        <f t="shared" si="3"/>
        <v>0.36066074302816098</v>
      </c>
      <c r="AA16" s="2" cm="1">
        <f t="array" ref="AA16">_xlfn.STDEV.S( _xlfn._xlws.FILTER(B16:Q16, ISNUMBER(B16:Q16)) )</f>
        <v>295.30123770963246</v>
      </c>
      <c r="AB16" s="2" cm="1">
        <f t="array" ref="AB16">_xlfn.STDEV.S(_xlfn._xlws.FILTER(B16:Q16, ISNUMBER(B16:Q16))) /
 AVERAGE(_xlfn._xlws.FILTER(B16:Q16, ISNUMBER(B16:Q16)))</f>
        <v>0.67968798448925649</v>
      </c>
      <c r="AE16" s="2">
        <f t="shared" si="4"/>
        <v>0.66517220614675787</v>
      </c>
    </row>
    <row r="17" spans="1:31" x14ac:dyDescent="0.3">
      <c r="A17" s="2">
        <v>1913</v>
      </c>
      <c r="B17">
        <v>266.78774800100001</v>
      </c>
      <c r="C17" s="2" t="s">
        <v>27</v>
      </c>
      <c r="D17">
        <v>163.017725697</v>
      </c>
      <c r="E17">
        <v>191.195382268</v>
      </c>
      <c r="F17">
        <v>138.59612289899999</v>
      </c>
      <c r="G17">
        <v>536.82210121399999</v>
      </c>
      <c r="H17">
        <v>798.79745850400002</v>
      </c>
      <c r="I17" s="2" t="s">
        <v>27</v>
      </c>
      <c r="J17" s="2" t="s">
        <v>27</v>
      </c>
      <c r="K17" s="2" t="s">
        <v>27</v>
      </c>
      <c r="L17" s="2" t="s">
        <v>27</v>
      </c>
      <c r="M17" s="2" t="s">
        <v>27</v>
      </c>
      <c r="N17" s="2" t="s">
        <v>27</v>
      </c>
      <c r="O17" s="2">
        <v>493.95696471771402</v>
      </c>
      <c r="P17" s="2" t="s">
        <v>27</v>
      </c>
      <c r="Q17" s="2" t="s">
        <v>27</v>
      </c>
      <c r="S17" s="2">
        <f t="shared" si="1"/>
        <v>369.88192904295914</v>
      </c>
      <c r="T17" s="24">
        <f t="shared" si="0"/>
        <v>0.1635998941593603</v>
      </c>
      <c r="U17" s="2" cm="1">
        <f t="array" ref="U17">SUMPRODUCT(B$2:Q$2, B17:Q17, --ISNUMBER(B17:Q17)) /
 SUMPRODUCT(B$2:Q$2, --ISNUMBER(B17:Q17))</f>
        <v>427.97533036616358</v>
      </c>
      <c r="V17" s="2">
        <f t="shared" si="2"/>
        <v>0.39165059045189776</v>
      </c>
      <c r="W17" s="7">
        <v>15.856752863194201</v>
      </c>
      <c r="X17" s="2">
        <f t="shared" si="3"/>
        <v>0.15856752863194201</v>
      </c>
      <c r="AA17" s="2" cm="1">
        <f t="array" ref="AA17">_xlfn.STDEV.S( _xlfn._xlws.FILTER(B17:Q17, ISNUMBER(B17:Q17)) )</f>
        <v>247.00721375691469</v>
      </c>
      <c r="AB17" s="2" cm="1">
        <f t="array" ref="AB17">_xlfn.STDEV.S(_xlfn._xlws.FILTER(B17:Q17, ISNUMBER(B17:Q17))) /
 AVERAGE(_xlfn._xlws.FILTER(B17:Q17, ISNUMBER(B17:Q17)))</f>
        <v>0.66780016638289608</v>
      </c>
      <c r="AE17" s="2">
        <f t="shared" si="4"/>
        <v>0.39165059045189776</v>
      </c>
    </row>
    <row r="18" spans="1:31" x14ac:dyDescent="0.3">
      <c r="A18" s="2">
        <v>1914</v>
      </c>
      <c r="B18">
        <v>349.710672827</v>
      </c>
      <c r="C18" s="2" t="s">
        <v>27</v>
      </c>
      <c r="D18">
        <v>144.416840837</v>
      </c>
      <c r="E18">
        <v>213.48382479399999</v>
      </c>
      <c r="F18">
        <v>284.93487260400002</v>
      </c>
      <c r="G18">
        <v>647.05170798899996</v>
      </c>
      <c r="H18">
        <v>899.27510669900005</v>
      </c>
      <c r="I18" s="2" t="s">
        <v>27</v>
      </c>
      <c r="J18" s="2" t="s">
        <v>27</v>
      </c>
      <c r="K18" s="2" t="s">
        <v>27</v>
      </c>
      <c r="L18" s="2" t="s">
        <v>27</v>
      </c>
      <c r="M18" s="2" t="s">
        <v>27</v>
      </c>
      <c r="N18" s="2" t="s">
        <v>27</v>
      </c>
      <c r="O18" s="2">
        <v>708.50963668114196</v>
      </c>
      <c r="P18" s="2" t="s">
        <v>27</v>
      </c>
      <c r="Q18" s="2" t="s">
        <v>27</v>
      </c>
      <c r="S18" s="2">
        <f t="shared" si="1"/>
        <v>463.91180891873461</v>
      </c>
      <c r="T18" s="24">
        <f t="shared" si="0"/>
        <v>0.45940552747150337</v>
      </c>
      <c r="U18" s="2" cm="1">
        <f t="array" ref="U18">SUMPRODUCT(B$2:Q$2, B18:Q18, --ISNUMBER(B18:Q18)) /
 SUMPRODUCT(B$2:Q$2, --ISNUMBER(B18:Q18))</f>
        <v>566.96834036300754</v>
      </c>
      <c r="V18" s="2">
        <f t="shared" si="2"/>
        <v>0.84361520314417948</v>
      </c>
      <c r="W18" s="7">
        <v>45.306046042506999</v>
      </c>
      <c r="X18" s="2">
        <f t="shared" si="3"/>
        <v>0.45306046042506998</v>
      </c>
      <c r="AA18" s="2" cm="1">
        <f t="array" ref="AA18">_xlfn.STDEV.S( _xlfn._xlws.FILTER(B18:Q18, ISNUMBER(B18:Q18)) )</f>
        <v>286.58197608806495</v>
      </c>
      <c r="AB18" s="2" cm="1">
        <f t="array" ref="AB18">_xlfn.STDEV.S(_xlfn._xlws.FILTER(B18:Q18, ISNUMBER(B18:Q18))) /
 AVERAGE(_xlfn._xlws.FILTER(B18:Q18, ISNUMBER(B18:Q18)))</f>
        <v>0.61775098322247435</v>
      </c>
      <c r="AE18" s="2">
        <f t="shared" si="4"/>
        <v>0.84361520314417948</v>
      </c>
    </row>
    <row r="19" spans="1:31" x14ac:dyDescent="0.3">
      <c r="A19" s="2">
        <v>1915</v>
      </c>
      <c r="B19">
        <v>227.490927787</v>
      </c>
      <c r="C19" s="2" t="s">
        <v>27</v>
      </c>
      <c r="D19">
        <v>69.446937704000007</v>
      </c>
      <c r="E19">
        <v>120.924893325</v>
      </c>
      <c r="F19">
        <v>225.87652356500001</v>
      </c>
      <c r="G19">
        <v>458.85899105800002</v>
      </c>
      <c r="H19">
        <v>690.84362319000002</v>
      </c>
      <c r="I19" s="2" t="s">
        <v>27</v>
      </c>
      <c r="J19" s="2" t="s">
        <v>27</v>
      </c>
      <c r="K19" s="2">
        <v>123.27482351435199</v>
      </c>
      <c r="L19" s="2" t="s">
        <v>27</v>
      </c>
      <c r="M19" s="2" t="s">
        <v>27</v>
      </c>
      <c r="N19" s="2" t="s">
        <v>27</v>
      </c>
      <c r="O19" s="2">
        <v>412.88806985142799</v>
      </c>
      <c r="P19" s="2" t="s">
        <v>27</v>
      </c>
      <c r="Q19" s="2" t="s">
        <v>27</v>
      </c>
      <c r="S19" s="2">
        <f t="shared" si="1"/>
        <v>291.20059874934748</v>
      </c>
      <c r="T19" s="24">
        <f t="shared" si="0"/>
        <v>-8.3921221129651058E-2</v>
      </c>
      <c r="U19" s="2" cm="1">
        <f t="array" ref="U19">SUMPRODUCT(B$2:Q$2, B19:Q19, --ISNUMBER(B19:Q19)) /
 SUMPRODUCT(B$2:Q$2, --ISNUMBER(B19:Q19))</f>
        <v>257.60894277184906</v>
      </c>
      <c r="V19" s="2">
        <f t="shared" si="2"/>
        <v>-0.16233106939269368</v>
      </c>
      <c r="W19" s="7">
        <v>-8.7980617581014702</v>
      </c>
      <c r="X19" s="2">
        <f t="shared" si="3"/>
        <v>-8.7980617581014706E-2</v>
      </c>
      <c r="AA19" s="2" cm="1">
        <f t="array" ref="AA19">_xlfn.STDEV.S( _xlfn._xlws.FILTER(B19:Q19, ISNUMBER(B19:Q19)) )</f>
        <v>212.91361397950072</v>
      </c>
      <c r="AB19" s="2" cm="1">
        <f t="array" ref="AB19">_xlfn.STDEV.S(_xlfn._xlws.FILTER(B19:Q19, ISNUMBER(B19:Q19))) /
 AVERAGE(_xlfn._xlws.FILTER(B19:Q19, ISNUMBER(B19:Q19)))</f>
        <v>0.73115788529942993</v>
      </c>
      <c r="AE19" s="2">
        <f t="shared" si="4"/>
        <v>-0.16233106939269368</v>
      </c>
    </row>
    <row r="20" spans="1:31" x14ac:dyDescent="0.3">
      <c r="A20" s="2">
        <v>1916</v>
      </c>
      <c r="B20">
        <v>298.639114404</v>
      </c>
      <c r="C20" s="2" t="s">
        <v>27</v>
      </c>
      <c r="D20">
        <v>124.623866287</v>
      </c>
      <c r="E20">
        <v>186.98156337899999</v>
      </c>
      <c r="F20">
        <v>289.15307632100001</v>
      </c>
      <c r="G20">
        <v>560.62203187600005</v>
      </c>
      <c r="H20">
        <v>836.40910027200005</v>
      </c>
      <c r="I20" s="2" t="s">
        <v>27</v>
      </c>
      <c r="J20" s="2" t="s">
        <v>27</v>
      </c>
      <c r="K20" s="2">
        <v>216.697876585411</v>
      </c>
      <c r="L20" s="2" t="s">
        <v>27</v>
      </c>
      <c r="M20" s="2" t="s">
        <v>27</v>
      </c>
      <c r="N20" s="2" t="s">
        <v>27</v>
      </c>
      <c r="O20" s="2">
        <v>588.36549953828501</v>
      </c>
      <c r="P20" s="2" t="s">
        <v>27</v>
      </c>
      <c r="Q20" s="2" t="s">
        <v>27</v>
      </c>
      <c r="S20" s="2">
        <f t="shared" si="1"/>
        <v>387.68651608283699</v>
      </c>
      <c r="T20" s="24">
        <f t="shared" si="0"/>
        <v>0.21961078295503</v>
      </c>
      <c r="U20" s="2" cm="1">
        <f t="array" ref="U20">SUMPRODUCT(B$2:Q$2, B20:Q20, --ISNUMBER(B20:Q20)) /
 SUMPRODUCT(B$2:Q$2, --ISNUMBER(B20:Q20))</f>
        <v>370.62191170220723</v>
      </c>
      <c r="V20" s="2">
        <f t="shared" si="2"/>
        <v>0.20515404898105757</v>
      </c>
      <c r="W20" s="7">
        <v>21.3870015109562</v>
      </c>
      <c r="X20" s="2">
        <f t="shared" si="3"/>
        <v>0.213870015109562</v>
      </c>
      <c r="AA20" s="2" cm="1">
        <f t="array" ref="AA20">_xlfn.STDEV.S( _xlfn._xlws.FILTER(B20:Q20, ISNUMBER(B20:Q20)) )</f>
        <v>247.23919409477853</v>
      </c>
      <c r="AB20" s="2" cm="1">
        <f t="array" ref="AB20">_xlfn.STDEV.S(_xlfn._xlws.FILTER(B20:Q20, ISNUMBER(B20:Q20))) /
 AVERAGE(_xlfn._xlws.FILTER(B20:Q20, ISNUMBER(B20:Q20)))</f>
        <v>0.63772967033486128</v>
      </c>
      <c r="AE20" s="2">
        <f t="shared" si="4"/>
        <v>0.20515404898105757</v>
      </c>
    </row>
    <row r="21" spans="1:31" x14ac:dyDescent="0.3">
      <c r="A21" s="2">
        <v>1917</v>
      </c>
      <c r="B21">
        <v>406.58854918100002</v>
      </c>
      <c r="C21" s="2" t="s">
        <v>27</v>
      </c>
      <c r="D21">
        <v>197.924530936</v>
      </c>
      <c r="E21">
        <v>261.80929331599998</v>
      </c>
      <c r="F21">
        <v>280.014144961</v>
      </c>
      <c r="G21">
        <v>689.13188131699997</v>
      </c>
      <c r="H21">
        <v>787.03628713499995</v>
      </c>
      <c r="I21" s="2" t="s">
        <v>27</v>
      </c>
      <c r="J21" s="2" t="s">
        <v>27</v>
      </c>
      <c r="K21" s="2">
        <v>269.40710124423498</v>
      </c>
      <c r="L21" s="2" t="s">
        <v>27</v>
      </c>
      <c r="M21" s="2" t="s">
        <v>27</v>
      </c>
      <c r="N21" s="2" t="s">
        <v>27</v>
      </c>
      <c r="O21" s="2">
        <v>691.98362858057101</v>
      </c>
      <c r="P21" s="2" t="s">
        <v>27</v>
      </c>
      <c r="Q21" s="2" t="s">
        <v>27</v>
      </c>
      <c r="S21" s="2">
        <f t="shared" si="1"/>
        <v>447.98692708385073</v>
      </c>
      <c r="T21" s="24">
        <f t="shared" si="0"/>
        <v>0.40930794399258985</v>
      </c>
      <c r="U21" s="2" cm="1">
        <f t="array" ref="U21">SUMPRODUCT(B$2:Q$2, B21:Q21, --ISNUMBER(B21:Q21)) /
 SUMPRODUCT(B$2:Q$2, --ISNUMBER(B21:Q21))</f>
        <v>440.3512447701147</v>
      </c>
      <c r="V21" s="2">
        <f t="shared" si="2"/>
        <v>0.4318934441063485</v>
      </c>
      <c r="W21" s="7">
        <v>40.297446795531698</v>
      </c>
      <c r="X21" s="2">
        <f t="shared" si="3"/>
        <v>0.402974467955317</v>
      </c>
      <c r="AA21" s="2" cm="1">
        <f t="array" ref="AA21">_xlfn.STDEV.S( _xlfn._xlws.FILTER(B21:Q21, ISNUMBER(B21:Q21)) )</f>
        <v>236.53827734671705</v>
      </c>
      <c r="AB21" s="2" cm="1">
        <f t="array" ref="AB21">_xlfn.STDEV.S(_xlfn._xlws.FILTER(B21:Q21, ISNUMBER(B21:Q21))) /
 AVERAGE(_xlfn._xlws.FILTER(B21:Q21, ISNUMBER(B21:Q21)))</f>
        <v>0.52800263366266409</v>
      </c>
      <c r="AE21" s="2">
        <f t="shared" si="4"/>
        <v>0.4318934441063485</v>
      </c>
    </row>
    <row r="22" spans="1:31" x14ac:dyDescent="0.3">
      <c r="A22" s="2">
        <v>1918</v>
      </c>
      <c r="B22">
        <v>276.19772133999999</v>
      </c>
      <c r="C22" s="2" t="s">
        <v>27</v>
      </c>
      <c r="D22">
        <v>108.976736308</v>
      </c>
      <c r="E22">
        <v>91.329599955999996</v>
      </c>
      <c r="F22">
        <v>227.75851828899999</v>
      </c>
      <c r="G22">
        <v>546.72791894700003</v>
      </c>
      <c r="H22">
        <v>660.74857667499998</v>
      </c>
      <c r="I22" s="2" t="s">
        <v>27</v>
      </c>
      <c r="J22" s="2" t="s">
        <v>27</v>
      </c>
      <c r="K22" s="2" t="s">
        <v>27</v>
      </c>
      <c r="L22" s="2" t="s">
        <v>27</v>
      </c>
      <c r="M22" s="2" t="s">
        <v>27</v>
      </c>
      <c r="N22" s="2" t="s">
        <v>27</v>
      </c>
      <c r="O22" s="2">
        <v>440.13821644799998</v>
      </c>
      <c r="P22" s="2" t="s">
        <v>27</v>
      </c>
      <c r="Q22" s="2" t="s">
        <v>27</v>
      </c>
      <c r="S22" s="2">
        <f t="shared" si="1"/>
        <v>335.98246970899999</v>
      </c>
      <c r="T22" s="24">
        <f t="shared" si="0"/>
        <v>5.6956654260843613E-2</v>
      </c>
      <c r="U22" s="2" cm="1">
        <f t="array" ref="U22">SUMPRODUCT(B$2:Q$2, B22:Q22, --ISNUMBER(B22:Q22)) /
 SUMPRODUCT(B$2:Q$2, --ISNUMBER(B22:Q22))</f>
        <v>381.91439772702734</v>
      </c>
      <c r="V22" s="2">
        <f t="shared" si="2"/>
        <v>0.24187391045219711</v>
      </c>
      <c r="W22" s="7">
        <v>5.2388710018827203</v>
      </c>
      <c r="X22" s="2">
        <f t="shared" si="3"/>
        <v>5.2388710018827202E-2</v>
      </c>
      <c r="AA22" s="2" cm="1">
        <f t="array" ref="AA22">_xlfn.STDEV.S( _xlfn._xlws.FILTER(B22:Q22, ISNUMBER(B22:Q22)) )</f>
        <v>218.86386851988755</v>
      </c>
      <c r="AB22" s="2" cm="1">
        <f t="array" ref="AB22">_xlfn.STDEV.S(_xlfn._xlws.FILTER(B22:Q22, ISNUMBER(B22:Q22))) /
 AVERAGE(_xlfn._xlws.FILTER(B22:Q22, ISNUMBER(B22:Q22)))</f>
        <v>0.65141454763830142</v>
      </c>
      <c r="AE22" s="2">
        <f t="shared" si="4"/>
        <v>0.24187391045219711</v>
      </c>
    </row>
    <row r="23" spans="1:31" x14ac:dyDescent="0.3">
      <c r="A23" s="2">
        <v>1919</v>
      </c>
      <c r="B23">
        <v>297.38409407099999</v>
      </c>
      <c r="C23" s="2" t="s">
        <v>27</v>
      </c>
      <c r="D23">
        <v>126.079050288</v>
      </c>
      <c r="E23">
        <v>131.52215308999999</v>
      </c>
      <c r="F23">
        <v>212.02670377999999</v>
      </c>
      <c r="G23">
        <v>481.51918613100003</v>
      </c>
      <c r="H23">
        <v>400.41411200900001</v>
      </c>
      <c r="I23" s="2" t="s">
        <v>27</v>
      </c>
      <c r="J23" s="2" t="s">
        <v>27</v>
      </c>
      <c r="K23" s="2">
        <v>134.28799325364699</v>
      </c>
      <c r="L23" s="2" t="s">
        <v>27</v>
      </c>
      <c r="M23" s="2" t="s">
        <v>27</v>
      </c>
      <c r="N23" s="2" t="s">
        <v>27</v>
      </c>
      <c r="O23" s="2">
        <v>355.93537996799898</v>
      </c>
      <c r="P23" s="2" t="s">
        <v>27</v>
      </c>
      <c r="Q23" s="2" t="s">
        <v>27</v>
      </c>
      <c r="S23" s="2">
        <f t="shared" si="1"/>
        <v>267.39608407383076</v>
      </c>
      <c r="T23" s="24">
        <f t="shared" si="0"/>
        <v>-0.15880709303103058</v>
      </c>
      <c r="U23" s="2" cm="1">
        <f t="array" ref="U23">SUMPRODUCT(B$2:Q$2, B23:Q23, --ISNUMBER(B23:Q23)) /
 SUMPRODUCT(B$2:Q$2, --ISNUMBER(B23:Q23))</f>
        <v>240.24635267756148</v>
      </c>
      <c r="V23" s="2">
        <f t="shared" si="2"/>
        <v>-0.21878913377649051</v>
      </c>
      <c r="W23" s="7">
        <v>-16.254548692151801</v>
      </c>
      <c r="X23" s="2">
        <f t="shared" si="3"/>
        <v>-0.16254548692151802</v>
      </c>
      <c r="AA23" s="2" cm="1">
        <f t="array" ref="AA23">_xlfn.STDEV.S( _xlfn._xlws.FILTER(B23:Q23, ISNUMBER(B23:Q23)) )</f>
        <v>137.05929244898428</v>
      </c>
      <c r="AB23" s="2" cm="1">
        <f t="array" ref="AB23">_xlfn.STDEV.S(_xlfn._xlws.FILTER(B23:Q23, ISNUMBER(B23:Q23))) /
 AVERAGE(_xlfn._xlws.FILTER(B23:Q23, ISNUMBER(B23:Q23)))</f>
        <v>0.5125703052971442</v>
      </c>
      <c r="AE23" s="2">
        <f t="shared" si="4"/>
        <v>-0.21878913377649051</v>
      </c>
    </row>
    <row r="24" spans="1:31" x14ac:dyDescent="0.3">
      <c r="A24" s="2">
        <v>1920</v>
      </c>
      <c r="B24">
        <v>337.84269232499997</v>
      </c>
      <c r="C24" s="2" t="s">
        <v>27</v>
      </c>
      <c r="D24">
        <v>266.60221413599999</v>
      </c>
      <c r="E24">
        <v>158.15098331199999</v>
      </c>
      <c r="F24">
        <v>270.75717917600002</v>
      </c>
      <c r="G24">
        <v>655.959253988</v>
      </c>
      <c r="H24">
        <v>728.17102681200004</v>
      </c>
      <c r="I24" s="2" t="s">
        <v>27</v>
      </c>
      <c r="J24" s="2" t="s">
        <v>27</v>
      </c>
      <c r="K24" s="2">
        <v>199.197694418823</v>
      </c>
      <c r="L24" s="2" t="s">
        <v>27</v>
      </c>
      <c r="M24" s="2" t="s">
        <v>27</v>
      </c>
      <c r="N24" s="2" t="s">
        <v>27</v>
      </c>
      <c r="O24" s="2">
        <v>579.86075092114197</v>
      </c>
      <c r="P24" s="2" t="s">
        <v>27</v>
      </c>
      <c r="Q24" s="2" t="s">
        <v>27</v>
      </c>
      <c r="S24" s="2">
        <f t="shared" si="1"/>
        <v>399.56772438612063</v>
      </c>
      <c r="T24" s="24">
        <f t="shared" si="0"/>
        <v>0.25698750141207172</v>
      </c>
      <c r="U24" s="2" cm="1">
        <f t="array" ref="U24">SUMPRODUCT(B$2:Q$2, B24:Q24, --ISNUMBER(B24:Q24)) /
 SUMPRODUCT(B$2:Q$2, --ISNUMBER(B24:Q24))</f>
        <v>366.09020151847221</v>
      </c>
      <c r="V24" s="2">
        <f t="shared" si="2"/>
        <v>0.19041825300058365</v>
      </c>
      <c r="W24" s="7">
        <v>25.114987346718301</v>
      </c>
      <c r="X24" s="2">
        <f t="shared" si="3"/>
        <v>0.25114987346718304</v>
      </c>
      <c r="AA24" s="2" cm="1">
        <f t="array" ref="AA24">_xlfn.STDEV.S( _xlfn._xlws.FILTER(B24:Q24, ISNUMBER(B24:Q24)) )</f>
        <v>221.2737403147764</v>
      </c>
      <c r="AB24" s="2" cm="1">
        <f t="array" ref="AB24">_xlfn.STDEV.S(_xlfn._xlws.FILTER(B24:Q24, ISNUMBER(B24:Q24))) /
 AVERAGE(_xlfn._xlws.FILTER(B24:Q24, ISNUMBER(B24:Q24)))</f>
        <v>0.55378281780574812</v>
      </c>
      <c r="AE24" s="2">
        <f t="shared" si="4"/>
        <v>0.19041825300058365</v>
      </c>
    </row>
    <row r="25" spans="1:31" x14ac:dyDescent="0.3">
      <c r="A25" s="2">
        <v>1921</v>
      </c>
      <c r="B25">
        <v>537.09941314000002</v>
      </c>
      <c r="C25" s="2" t="s">
        <v>27</v>
      </c>
      <c r="D25">
        <v>434.09965337599999</v>
      </c>
      <c r="E25">
        <v>364.78438928100002</v>
      </c>
      <c r="F25">
        <v>381.13212482699998</v>
      </c>
      <c r="G25">
        <v>870.10368770800005</v>
      </c>
      <c r="H25">
        <v>1183.9155547600001</v>
      </c>
      <c r="I25" s="2" t="s">
        <v>27</v>
      </c>
      <c r="J25" s="2" t="s">
        <v>27</v>
      </c>
      <c r="K25" s="2">
        <v>279.57476464941101</v>
      </c>
      <c r="L25" s="2" t="s">
        <v>27</v>
      </c>
      <c r="M25" s="2" t="s">
        <v>27</v>
      </c>
      <c r="N25" s="2" t="s">
        <v>27</v>
      </c>
      <c r="O25" s="2">
        <v>793.38819291428501</v>
      </c>
      <c r="P25" s="2" t="s">
        <v>27</v>
      </c>
      <c r="Q25" s="2" t="s">
        <v>27</v>
      </c>
      <c r="S25" s="2">
        <f t="shared" si="1"/>
        <v>605.51222258196208</v>
      </c>
      <c r="T25" s="24">
        <f t="shared" si="0"/>
        <v>0.90486180260712024</v>
      </c>
      <c r="U25" s="2" cm="1">
        <f t="array" ref="U25">SUMPRODUCT(B$2:Q$2, B25:Q25, --ISNUMBER(B25:Q25)) /
 SUMPRODUCT(B$2:Q$2, --ISNUMBER(B25:Q25))</f>
        <v>527.2456426079026</v>
      </c>
      <c r="V25" s="2">
        <f t="shared" si="2"/>
        <v>0.71444860903713603</v>
      </c>
      <c r="W25" s="7">
        <v>89.642189518820999</v>
      </c>
      <c r="X25" s="2">
        <f t="shared" si="3"/>
        <v>0.89642189518821003</v>
      </c>
      <c r="AA25" s="2" cm="1">
        <f t="array" ref="AA25">_xlfn.STDEV.S( _xlfn._xlws.FILTER(B25:Q25, ISNUMBER(B25:Q25)) )</f>
        <v>313.60816411017453</v>
      </c>
      <c r="AB25" s="2" cm="1">
        <f t="array" ref="AB25">_xlfn.STDEV.S(_xlfn._xlws.FILTER(B25:Q25, ISNUMBER(B25:Q25))) /
 AVERAGE(_xlfn._xlws.FILTER(B25:Q25, ISNUMBER(B25:Q25)))</f>
        <v>0.51792210365782432</v>
      </c>
      <c r="AE25" s="2">
        <f t="shared" si="4"/>
        <v>0.71444860903713603</v>
      </c>
    </row>
    <row r="26" spans="1:31" x14ac:dyDescent="0.3">
      <c r="A26" s="2">
        <v>1922</v>
      </c>
      <c r="B26">
        <v>481.98783597099998</v>
      </c>
      <c r="C26" s="2" t="s">
        <v>27</v>
      </c>
      <c r="D26">
        <v>414.10685754999997</v>
      </c>
      <c r="E26">
        <v>333.48269442999998</v>
      </c>
      <c r="F26">
        <v>375.63127942300002</v>
      </c>
      <c r="G26">
        <v>735.790395085</v>
      </c>
      <c r="H26">
        <v>918.47585620400002</v>
      </c>
      <c r="I26" s="2" t="s">
        <v>27</v>
      </c>
      <c r="J26" s="2" t="s">
        <v>27</v>
      </c>
      <c r="K26" s="2">
        <v>255.695507034352</v>
      </c>
      <c r="L26" s="2">
        <v>535.00424794570404</v>
      </c>
      <c r="M26" s="2" t="s">
        <v>27</v>
      </c>
      <c r="N26" s="2" t="s">
        <v>27</v>
      </c>
      <c r="O26" s="2">
        <v>682.87306225371401</v>
      </c>
      <c r="P26" s="2">
        <v>399.91135764134799</v>
      </c>
      <c r="Q26" s="2" t="s">
        <v>27</v>
      </c>
      <c r="S26" s="2">
        <f t="shared" si="1"/>
        <v>513.29590935381179</v>
      </c>
      <c r="T26" s="24">
        <f t="shared" si="0"/>
        <v>0.61476141141017793</v>
      </c>
      <c r="U26" s="2" cm="1">
        <f t="array" ref="U26">SUMPRODUCT(B$2:Q$2, B26:Q26, --ISNUMBER(B26:Q26)) /
 SUMPRODUCT(B$2:Q$2, --ISNUMBER(B26:Q26))</f>
        <v>468.00357261104506</v>
      </c>
      <c r="V26" s="2">
        <f t="shared" si="2"/>
        <v>0.52181072586713539</v>
      </c>
      <c r="W26" s="7">
        <v>60.712159138377999</v>
      </c>
      <c r="X26" s="2">
        <f t="shared" si="3"/>
        <v>0.60712159138377997</v>
      </c>
      <c r="AA26" s="2" cm="1">
        <f t="array" ref="AA26">_xlfn.STDEV.S( _xlfn._xlws.FILTER(B26:Q26, ISNUMBER(B26:Q26)) )</f>
        <v>206.61807981406315</v>
      </c>
      <c r="AB26" s="2" cm="1">
        <f t="array" ref="AB26">_xlfn.STDEV.S(_xlfn._xlws.FILTER(B26:Q26, ISNUMBER(B26:Q26))) /
 AVERAGE(_xlfn._xlws.FILTER(B26:Q26, ISNUMBER(B26:Q26)))</f>
        <v>0.40253209902680631</v>
      </c>
      <c r="AE26" s="2">
        <f t="shared" si="4"/>
        <v>0.52181072586713539</v>
      </c>
    </row>
    <row r="27" spans="1:31" x14ac:dyDescent="0.3">
      <c r="A27" s="2">
        <v>1923</v>
      </c>
      <c r="B27">
        <v>406.69197317700002</v>
      </c>
      <c r="C27" s="2" t="s">
        <v>27</v>
      </c>
      <c r="D27">
        <v>247.591281442</v>
      </c>
      <c r="E27">
        <v>177.814624221</v>
      </c>
      <c r="F27">
        <v>310.65201329299998</v>
      </c>
      <c r="G27">
        <v>673.01054514600003</v>
      </c>
      <c r="H27">
        <v>875.79075446399997</v>
      </c>
      <c r="I27" s="2" t="s">
        <v>27</v>
      </c>
      <c r="J27" s="2" t="s">
        <v>27</v>
      </c>
      <c r="K27" s="2">
        <v>249.553892939294</v>
      </c>
      <c r="L27" s="2">
        <v>510.84766633126299</v>
      </c>
      <c r="M27" s="2" t="s">
        <v>27</v>
      </c>
      <c r="N27" s="2" t="s">
        <v>27</v>
      </c>
      <c r="O27" s="2">
        <v>594.01008954514202</v>
      </c>
      <c r="P27" s="2">
        <v>382.187458905168</v>
      </c>
      <c r="Q27" s="2" t="s">
        <v>27</v>
      </c>
      <c r="S27" s="2">
        <f t="shared" si="1"/>
        <v>442.81502994638674</v>
      </c>
      <c r="T27" s="24">
        <f t="shared" si="0"/>
        <v>0.39303783591424352</v>
      </c>
      <c r="U27" s="2" cm="1">
        <f t="array" ref="U27">SUMPRODUCT(B$2:Q$2, B27:Q27, --ISNUMBER(B27:Q27)) /
 SUMPRODUCT(B$2:Q$2, --ISNUMBER(B27:Q27))</f>
        <v>424.61222049186847</v>
      </c>
      <c r="V27" s="2">
        <f t="shared" si="2"/>
        <v>0.38071474085908807</v>
      </c>
      <c r="W27" s="7">
        <v>38.637424056985601</v>
      </c>
      <c r="X27" s="2">
        <f t="shared" si="3"/>
        <v>0.38637424056985603</v>
      </c>
      <c r="AA27" s="2" cm="1">
        <f t="array" ref="AA27">_xlfn.STDEV.S( _xlfn._xlws.FILTER(B27:Q27, ISNUMBER(B27:Q27)) )</f>
        <v>220.12152541614077</v>
      </c>
      <c r="AB27" s="2" cm="1">
        <f t="array" ref="AB27">_xlfn.STDEV.S(_xlfn._xlws.FILTER(B27:Q27, ISNUMBER(B27:Q27))) /
 AVERAGE(_xlfn._xlws.FILTER(B27:Q27, ISNUMBER(B27:Q27)))</f>
        <v>0.49709587644934206</v>
      </c>
      <c r="AE27" s="2">
        <f t="shared" si="4"/>
        <v>0.38071474085908807</v>
      </c>
    </row>
    <row r="28" spans="1:31" x14ac:dyDescent="0.3">
      <c r="A28" s="2">
        <v>1924</v>
      </c>
      <c r="B28">
        <v>258.31341327299998</v>
      </c>
      <c r="C28" s="2" t="s">
        <v>27</v>
      </c>
      <c r="D28">
        <v>116.916969412</v>
      </c>
      <c r="E28">
        <v>93.243107541000001</v>
      </c>
      <c r="F28">
        <v>182.67370667099999</v>
      </c>
      <c r="G28">
        <v>411.28818847999997</v>
      </c>
      <c r="H28">
        <v>495.75198945400001</v>
      </c>
      <c r="I28" s="2" t="s">
        <v>27</v>
      </c>
      <c r="J28" s="2" t="s">
        <v>27</v>
      </c>
      <c r="K28" s="2">
        <v>168.601158821647</v>
      </c>
      <c r="L28" s="2">
        <v>384.69025006440398</v>
      </c>
      <c r="M28" s="2" t="s">
        <v>27</v>
      </c>
      <c r="N28" s="2" t="s">
        <v>27</v>
      </c>
      <c r="O28" s="2">
        <v>324.68916655542802</v>
      </c>
      <c r="P28" s="2">
        <v>223.64824993078599</v>
      </c>
      <c r="Q28" s="2" t="s">
        <v>27</v>
      </c>
      <c r="S28" s="2">
        <f t="shared" si="1"/>
        <v>265.98162002032649</v>
      </c>
      <c r="T28" s="24">
        <f t="shared" si="0"/>
        <v>-0.16325681088345001</v>
      </c>
      <c r="U28" s="2" cm="1">
        <f t="array" ref="U28">SUMPRODUCT(B$2:Q$2, B28:Q28, --ISNUMBER(B28:Q28)) /
 SUMPRODUCT(B$2:Q$2, --ISNUMBER(B28:Q28))</f>
        <v>269.54422814880695</v>
      </c>
      <c r="V28" s="2">
        <f t="shared" si="2"/>
        <v>-0.12352101244888684</v>
      </c>
      <c r="W28" s="7">
        <v>-16.789907380515601</v>
      </c>
      <c r="X28" s="2">
        <f t="shared" si="3"/>
        <v>-0.16789907380515601</v>
      </c>
      <c r="AA28" s="2" cm="1">
        <f t="array" ref="AA28">_xlfn.STDEV.S( _xlfn._xlws.FILTER(B28:Q28, ISNUMBER(B28:Q28)) )</f>
        <v>134.0728153722705</v>
      </c>
      <c r="AB28" s="2" cm="1">
        <f t="array" ref="AB28">_xlfn.STDEV.S(_xlfn._xlws.FILTER(B28:Q28, ISNUMBER(B28:Q28))) /
 AVERAGE(_xlfn._xlws.FILTER(B28:Q28, ISNUMBER(B28:Q28)))</f>
        <v>0.50406797041849949</v>
      </c>
      <c r="AE28" s="2">
        <f t="shared" si="4"/>
        <v>-0.12352101244888684</v>
      </c>
    </row>
    <row r="29" spans="1:31" x14ac:dyDescent="0.3">
      <c r="A29" s="2">
        <v>1925</v>
      </c>
      <c r="B29">
        <v>289.58174718100003</v>
      </c>
      <c r="C29" s="2" t="s">
        <v>27</v>
      </c>
      <c r="D29">
        <v>143.741920959</v>
      </c>
      <c r="E29">
        <v>124.486536785</v>
      </c>
      <c r="F29">
        <v>197.61162978999999</v>
      </c>
      <c r="G29">
        <v>510.70161311800001</v>
      </c>
      <c r="H29">
        <v>752.33989901999996</v>
      </c>
      <c r="I29" s="2" t="s">
        <v>27</v>
      </c>
      <c r="J29" s="2" t="s">
        <v>27</v>
      </c>
      <c r="K29" s="2">
        <v>156.69930795670501</v>
      </c>
      <c r="L29" s="2">
        <v>381.96987451147999</v>
      </c>
      <c r="M29" s="2" t="s">
        <v>27</v>
      </c>
      <c r="N29" s="2" t="s">
        <v>27</v>
      </c>
      <c r="O29" s="2">
        <v>409.54442210742798</v>
      </c>
      <c r="P29" s="2">
        <v>265.98905648898801</v>
      </c>
      <c r="Q29" s="2" t="s">
        <v>27</v>
      </c>
      <c r="S29" s="2">
        <f t="shared" si="1"/>
        <v>323.26660079176014</v>
      </c>
      <c r="T29" s="24">
        <f t="shared" si="0"/>
        <v>1.6954203304321996E-2</v>
      </c>
      <c r="U29" s="2" cm="1">
        <f t="array" ref="U29">SUMPRODUCT(B$2:Q$2, B29:Q29, --ISNUMBER(B29:Q29)) /
 SUMPRODUCT(B$2:Q$2, --ISNUMBER(B29:Q29))</f>
        <v>301.5445370204223</v>
      </c>
      <c r="V29" s="2">
        <f t="shared" si="2"/>
        <v>-1.9465368172088895E-2</v>
      </c>
      <c r="W29" s="7">
        <v>1.21089123432307</v>
      </c>
      <c r="X29" s="2">
        <f t="shared" si="3"/>
        <v>1.21089123432307E-2</v>
      </c>
      <c r="AA29" s="2" cm="1">
        <f t="array" ref="AA29">_xlfn.STDEV.S( _xlfn._xlws.FILTER(B29:Q29, ISNUMBER(B29:Q29)) )</f>
        <v>197.15125655027219</v>
      </c>
      <c r="AB29" s="2" cm="1">
        <f t="array" ref="AB29">_xlfn.STDEV.S(_xlfn._xlws.FILTER(B29:Q29, ISNUMBER(B29:Q29))) /
 AVERAGE(_xlfn._xlws.FILTER(B29:Q29, ISNUMBER(B29:Q29)))</f>
        <v>0.60987202534193086</v>
      </c>
      <c r="AE29" s="2">
        <f t="shared" si="4"/>
        <v>-1.9465368172088895E-2</v>
      </c>
    </row>
    <row r="30" spans="1:31" x14ac:dyDescent="0.3">
      <c r="A30" s="2">
        <v>1926</v>
      </c>
      <c r="B30">
        <v>288.30636355899998</v>
      </c>
      <c r="C30" s="2" t="s">
        <v>27</v>
      </c>
      <c r="D30">
        <v>146.93579087200001</v>
      </c>
      <c r="E30">
        <v>110.109273673</v>
      </c>
      <c r="F30">
        <v>162.83953719100001</v>
      </c>
      <c r="G30">
        <v>444.49976596900001</v>
      </c>
      <c r="H30">
        <v>690.49134754399995</v>
      </c>
      <c r="I30" s="2" t="s">
        <v>27</v>
      </c>
      <c r="J30" s="2" t="s">
        <v>27</v>
      </c>
      <c r="K30" s="2">
        <v>121.756510012235</v>
      </c>
      <c r="L30" s="2">
        <v>302.75218511480102</v>
      </c>
      <c r="M30" s="2" t="s">
        <v>27</v>
      </c>
      <c r="N30" s="2" t="s">
        <v>27</v>
      </c>
      <c r="O30" s="2">
        <v>390.33883567542802</v>
      </c>
      <c r="P30" s="2">
        <v>206.103033384269</v>
      </c>
      <c r="Q30" s="2" t="s">
        <v>27</v>
      </c>
      <c r="S30" s="2">
        <f t="shared" si="1"/>
        <v>286.41326429947333</v>
      </c>
      <c r="T30" s="24">
        <f t="shared" si="0"/>
        <v>-9.8981545578570113E-2</v>
      </c>
      <c r="U30" s="2" cm="1">
        <f t="array" ref="U30">SUMPRODUCT(B$2:Q$2, B30:Q30, --ISNUMBER(B30:Q30)) /
 SUMPRODUCT(B$2:Q$2, --ISNUMBER(B30:Q30))</f>
        <v>255.92364609625454</v>
      </c>
      <c r="V30" s="2">
        <f t="shared" si="2"/>
        <v>-0.16781116122805978</v>
      </c>
      <c r="W30" s="7">
        <v>-10.3232048197167</v>
      </c>
      <c r="X30" s="2">
        <f t="shared" si="3"/>
        <v>-0.103232048197167</v>
      </c>
      <c r="AA30" s="2" cm="1">
        <f t="array" ref="AA30">_xlfn.STDEV.S( _xlfn._xlws.FILTER(B30:Q30, ISNUMBER(B30:Q30)) )</f>
        <v>182.18141647233168</v>
      </c>
      <c r="AB30" s="2" cm="1">
        <f t="array" ref="AB30">_xlfn.STDEV.S(_xlfn._xlws.FILTER(B30:Q30, ISNUMBER(B30:Q30))) /
 AVERAGE(_xlfn._xlws.FILTER(B30:Q30, ISNUMBER(B30:Q30)))</f>
        <v>0.63607883845017399</v>
      </c>
      <c r="AE30" s="2">
        <f t="shared" si="4"/>
        <v>-0.16781116122805978</v>
      </c>
    </row>
    <row r="31" spans="1:31" x14ac:dyDescent="0.3">
      <c r="A31" s="2">
        <v>1927</v>
      </c>
      <c r="B31">
        <v>359.80822799100002</v>
      </c>
      <c r="C31" s="2" t="s">
        <v>27</v>
      </c>
      <c r="D31">
        <v>168.030738477</v>
      </c>
      <c r="E31">
        <v>171.56768086700001</v>
      </c>
      <c r="F31">
        <v>259.47920021800002</v>
      </c>
      <c r="G31">
        <v>588.09779018899997</v>
      </c>
      <c r="H31">
        <v>1018.936581358</v>
      </c>
      <c r="I31" s="2" t="s">
        <v>27</v>
      </c>
      <c r="J31" s="2" t="s">
        <v>27</v>
      </c>
      <c r="K31" s="2">
        <v>159.843871939764</v>
      </c>
      <c r="L31" s="2">
        <v>416.34994541978301</v>
      </c>
      <c r="M31" s="2" t="s">
        <v>27</v>
      </c>
      <c r="N31" s="2" t="s">
        <v>27</v>
      </c>
      <c r="O31" s="2">
        <v>488.22499715657102</v>
      </c>
      <c r="P31" s="2">
        <v>346.48538293213397</v>
      </c>
      <c r="Q31" s="2" t="s">
        <v>27</v>
      </c>
      <c r="S31" s="2">
        <f t="shared" si="1"/>
        <v>397.68244165482531</v>
      </c>
      <c r="T31" s="24">
        <f t="shared" si="0"/>
        <v>0.25105664993124438</v>
      </c>
      <c r="U31" s="2" cm="1">
        <f t="array" ref="U31">SUMPRODUCT(B$2:Q$2, B31:Q31, --ISNUMBER(B31:Q31)) /
 SUMPRODUCT(B$2:Q$2, --ISNUMBER(B31:Q31))</f>
        <v>352.01882943133933</v>
      </c>
      <c r="V31" s="2">
        <f t="shared" si="2"/>
        <v>0.14466226688621425</v>
      </c>
      <c r="W31" s="7">
        <v>24.5165143386727</v>
      </c>
      <c r="X31" s="2">
        <f t="shared" si="3"/>
        <v>0.24516514338672699</v>
      </c>
      <c r="AA31" s="2" cm="1">
        <f t="array" ref="AA31">_xlfn.STDEV.S( _xlfn._xlws.FILTER(B31:Q31, ISNUMBER(B31:Q31)) )</f>
        <v>261.26866695632043</v>
      </c>
      <c r="AB31" s="2" cm="1">
        <f t="array" ref="AB31">_xlfn.STDEV.S(_xlfn._xlws.FILTER(B31:Q31, ISNUMBER(B31:Q31))) /
 AVERAGE(_xlfn._xlws.FILTER(B31:Q31, ISNUMBER(B31:Q31)))</f>
        <v>0.65697813026176466</v>
      </c>
      <c r="AE31" s="2">
        <f t="shared" si="4"/>
        <v>0.14466226688621425</v>
      </c>
    </row>
    <row r="32" spans="1:31" x14ac:dyDescent="0.3">
      <c r="A32" s="2">
        <v>1928</v>
      </c>
      <c r="B32">
        <v>357.12885061600002</v>
      </c>
      <c r="C32" s="2" t="s">
        <v>27</v>
      </c>
      <c r="D32">
        <v>172.82569115199999</v>
      </c>
      <c r="E32">
        <v>172.19208481999999</v>
      </c>
      <c r="F32">
        <v>270.006129913</v>
      </c>
      <c r="G32">
        <v>519.12536082600002</v>
      </c>
      <c r="H32">
        <v>816.49205689500002</v>
      </c>
      <c r="I32" s="2" t="s">
        <v>27</v>
      </c>
      <c r="J32" s="2" t="s">
        <v>27</v>
      </c>
      <c r="K32" s="2">
        <v>165.11839230494101</v>
      </c>
      <c r="L32" s="2">
        <v>445.92519716967502</v>
      </c>
      <c r="M32" s="2" t="s">
        <v>27</v>
      </c>
      <c r="N32" s="2" t="s">
        <v>27</v>
      </c>
      <c r="O32" s="2">
        <v>494.56860759771399</v>
      </c>
      <c r="P32" s="2">
        <v>335.434576740674</v>
      </c>
      <c r="Q32" s="2">
        <v>102.56985165912999</v>
      </c>
      <c r="S32" s="2">
        <f t="shared" si="1"/>
        <v>350.12607269946676</v>
      </c>
      <c r="T32" s="24">
        <f t="shared" si="0"/>
        <v>0.10145056880628152</v>
      </c>
      <c r="U32" s="2" cm="1">
        <f t="array" ref="U32">SUMPRODUCT(B$2:Q$2, B32:Q32, --ISNUMBER(B32:Q32)) /
 SUMPRODUCT(B$2:Q$2, --ISNUMBER(B32:Q32))</f>
        <v>299.6575249422342</v>
      </c>
      <c r="V32" s="2">
        <f t="shared" si="2"/>
        <v>-2.560137949440866E-2</v>
      </c>
      <c r="W32" s="7">
        <v>9.5021737329567397</v>
      </c>
      <c r="X32" s="2">
        <f t="shared" si="3"/>
        <v>9.5021737329567396E-2</v>
      </c>
      <c r="AA32" s="2" cm="1">
        <f t="array" ref="AA32">_xlfn.STDEV.S( _xlfn._xlws.FILTER(B32:Q32, ISNUMBER(B32:Q32)) )</f>
        <v>210.09308571285666</v>
      </c>
      <c r="AB32" s="2" cm="1">
        <f t="array" ref="AB32">_xlfn.STDEV.S(_xlfn._xlws.FILTER(B32:Q32, ISNUMBER(B32:Q32))) /
 AVERAGE(_xlfn._xlws.FILTER(B32:Q32, ISNUMBER(B32:Q32)))</f>
        <v>0.60004981660760692</v>
      </c>
      <c r="AE32" s="2">
        <f t="shared" si="4"/>
        <v>-2.560137949440866E-2</v>
      </c>
    </row>
    <row r="33" spans="1:31" x14ac:dyDescent="0.3">
      <c r="A33" s="2">
        <v>1929</v>
      </c>
      <c r="B33">
        <v>395.19744426400001</v>
      </c>
      <c r="C33" s="2" t="s">
        <v>27</v>
      </c>
      <c r="D33">
        <v>230.25490833800001</v>
      </c>
      <c r="E33">
        <v>209.50021856500001</v>
      </c>
      <c r="F33">
        <v>283.32217145700002</v>
      </c>
      <c r="G33">
        <v>558.34438888800003</v>
      </c>
      <c r="H33">
        <v>848.45243751199996</v>
      </c>
      <c r="I33" s="2" t="s">
        <v>27</v>
      </c>
      <c r="J33" s="2" t="s">
        <v>27</v>
      </c>
      <c r="K33" s="2">
        <v>160.64620348235201</v>
      </c>
      <c r="L33" s="2">
        <v>404.73535499090201</v>
      </c>
      <c r="M33" s="2" t="s">
        <v>27</v>
      </c>
      <c r="N33" s="2" t="s">
        <v>27</v>
      </c>
      <c r="O33" s="2">
        <v>529.78176197485698</v>
      </c>
      <c r="P33" s="2">
        <v>313.62160481797702</v>
      </c>
      <c r="Q33" s="2">
        <v>124.022940748322</v>
      </c>
      <c r="S33" s="2">
        <f t="shared" si="1"/>
        <v>368.89813045803731</v>
      </c>
      <c r="T33" s="24">
        <f t="shared" si="0"/>
        <v>0.16050499322096864</v>
      </c>
      <c r="U33" s="2" cm="1">
        <f t="array" ref="U33">SUMPRODUCT(B$2:Q$2, B33:Q33, --ISNUMBER(B33:Q33)) /
 SUMPRODUCT(B$2:Q$2, --ISNUMBER(B33:Q33))</f>
        <v>303.6432823583628</v>
      </c>
      <c r="V33" s="2">
        <f t="shared" si="2"/>
        <v>-1.2640862221584276E-2</v>
      </c>
      <c r="W33" s="7">
        <v>15.415353329281199</v>
      </c>
      <c r="X33" s="2">
        <f t="shared" si="3"/>
        <v>0.15415353329281201</v>
      </c>
      <c r="AA33" s="2" cm="1">
        <f t="array" ref="AA33">_xlfn.STDEV.S( _xlfn._xlws.FILTER(B33:Q33, ISNUMBER(B33:Q33)) )</f>
        <v>212.61769016993071</v>
      </c>
      <c r="AB33" s="2" cm="1">
        <f t="array" ref="AB33">_xlfn.STDEV.S(_xlfn._xlws.FILTER(B33:Q33, ISNUMBER(B33:Q33))) /
 AVERAGE(_xlfn._xlws.FILTER(B33:Q33, ISNUMBER(B33:Q33)))</f>
        <v>0.57635881728632476</v>
      </c>
      <c r="AE33" s="2">
        <f t="shared" si="4"/>
        <v>-1.2640862221584276E-2</v>
      </c>
    </row>
    <row r="34" spans="1:31" x14ac:dyDescent="0.3">
      <c r="A34" s="2">
        <v>1930</v>
      </c>
      <c r="B34">
        <v>228.786674697</v>
      </c>
      <c r="C34" s="2" t="s">
        <v>27</v>
      </c>
      <c r="D34">
        <v>97.404142879000005</v>
      </c>
      <c r="E34">
        <v>90.685592679999999</v>
      </c>
      <c r="F34">
        <v>177.34903872199999</v>
      </c>
      <c r="G34">
        <v>388.62972539100002</v>
      </c>
      <c r="H34">
        <v>586.90849315800006</v>
      </c>
      <c r="I34" s="2" t="s">
        <v>27</v>
      </c>
      <c r="J34" s="2" t="s">
        <v>27</v>
      </c>
      <c r="K34" s="2">
        <v>120.835447792941</v>
      </c>
      <c r="L34" s="2">
        <v>324.33412558093801</v>
      </c>
      <c r="M34" s="2" t="s">
        <v>27</v>
      </c>
      <c r="N34" s="2" t="s">
        <v>27</v>
      </c>
      <c r="O34" s="2">
        <v>392.93103645257099</v>
      </c>
      <c r="P34" s="2">
        <v>173.362958324494</v>
      </c>
      <c r="Q34" s="2">
        <v>72.078884237515496</v>
      </c>
      <c r="S34" s="2">
        <f t="shared" si="1"/>
        <v>241.20964726504178</v>
      </c>
      <c r="T34" s="24">
        <f t="shared" si="0"/>
        <v>-0.24118617864345232</v>
      </c>
      <c r="U34" s="2" cm="1">
        <f t="array" ref="U34">SUMPRODUCT(B$2:Q$2, B34:Q34, --ISNUMBER(B34:Q34)) /
 SUMPRODUCT(B$2:Q$2, --ISNUMBER(B34:Q34))</f>
        <v>211.63356523355313</v>
      </c>
      <c r="V34" s="2">
        <f t="shared" si="2"/>
        <v>-0.31182954922955147</v>
      </c>
      <c r="W34" s="7">
        <v>-24.5335047027048</v>
      </c>
      <c r="X34" s="2">
        <f t="shared" si="3"/>
        <v>-0.245335047027048</v>
      </c>
      <c r="AA34" s="2" cm="1">
        <f t="array" ref="AA34">_xlfn.STDEV.S( _xlfn._xlws.FILTER(B34:Q34, ISNUMBER(B34:Q34)) )</f>
        <v>163.22922167646541</v>
      </c>
      <c r="AB34" s="2" cm="1">
        <f t="array" ref="AB34">_xlfn.STDEV.S(_xlfn._xlws.FILTER(B34:Q34, ISNUMBER(B34:Q34))) /
 AVERAGE(_xlfn._xlws.FILTER(B34:Q34, ISNUMBER(B34:Q34)))</f>
        <v>0.67671100027400122</v>
      </c>
      <c r="AE34" s="2">
        <f t="shared" si="4"/>
        <v>-0.31182954922955147</v>
      </c>
    </row>
    <row r="35" spans="1:31" x14ac:dyDescent="0.3">
      <c r="A35" s="2">
        <v>1931</v>
      </c>
      <c r="B35">
        <v>170.37088932</v>
      </c>
      <c r="C35" s="2" t="s">
        <v>27</v>
      </c>
      <c r="D35">
        <v>65.945413434000002</v>
      </c>
      <c r="E35">
        <v>64.093972553</v>
      </c>
      <c r="F35">
        <v>158.16624485</v>
      </c>
      <c r="G35">
        <v>293.27720410900002</v>
      </c>
      <c r="H35">
        <v>454.96399565299998</v>
      </c>
      <c r="I35" s="2" t="s">
        <v>27</v>
      </c>
      <c r="J35" s="2" t="s">
        <v>27</v>
      </c>
      <c r="K35" s="2">
        <v>78.365844525176399</v>
      </c>
      <c r="L35" s="2">
        <v>206.57631045314</v>
      </c>
      <c r="M35" s="2" t="s">
        <v>27</v>
      </c>
      <c r="N35" s="2" t="s">
        <v>27</v>
      </c>
      <c r="O35" s="2">
        <v>229.56413578971399</v>
      </c>
      <c r="P35" s="2">
        <v>112.98212300224699</v>
      </c>
      <c r="Q35" s="2">
        <v>21.099779847950298</v>
      </c>
      <c r="S35" s="2">
        <f t="shared" si="1"/>
        <v>168.67326486702066</v>
      </c>
      <c r="T35" s="24">
        <f t="shared" si="0"/>
        <v>-0.4693760961650445</v>
      </c>
      <c r="U35" s="2" cm="1">
        <f t="array" ref="U35">SUMPRODUCT(B$2:Q$2, B35:Q35, --ISNUMBER(B35:Q35)) /
 SUMPRODUCT(B$2:Q$2, --ISNUMBER(B35:Q35))</f>
        <v>132.7376428021301</v>
      </c>
      <c r="V35" s="2">
        <f t="shared" si="2"/>
        <v>-0.5683760117137302</v>
      </c>
      <c r="W35" s="7">
        <v>-47.203125342665601</v>
      </c>
      <c r="X35" s="2">
        <f t="shared" si="3"/>
        <v>-0.47203125342665603</v>
      </c>
      <c r="AA35" s="2" cm="1">
        <f t="array" ref="AA35">_xlfn.STDEV.S( _xlfn._xlws.FILTER(B35:Q35, ISNUMBER(B35:Q35)) )</f>
        <v>125.40767496690896</v>
      </c>
      <c r="AB35" s="2" cm="1">
        <f t="array" ref="AB35">_xlfn.STDEV.S(_xlfn._xlws.FILTER(B35:Q35, ISNUMBER(B35:Q35))) /
 AVERAGE(_xlfn._xlws.FILTER(B35:Q35, ISNUMBER(B35:Q35)))</f>
        <v>0.74349467928885105</v>
      </c>
      <c r="AE35" s="2">
        <f t="shared" si="4"/>
        <v>-0.5683760117137302</v>
      </c>
    </row>
    <row r="36" spans="1:31" x14ac:dyDescent="0.3">
      <c r="A36" s="2">
        <v>1932</v>
      </c>
      <c r="B36">
        <v>308.58925021800002</v>
      </c>
      <c r="C36" s="2" t="s">
        <v>27</v>
      </c>
      <c r="D36">
        <v>141.810192607</v>
      </c>
      <c r="E36">
        <v>158.66212329499999</v>
      </c>
      <c r="F36">
        <v>203.69696457399999</v>
      </c>
      <c r="G36">
        <v>485.75347942799999</v>
      </c>
      <c r="H36">
        <v>832.11997160099997</v>
      </c>
      <c r="I36" s="2" t="s">
        <v>27</v>
      </c>
      <c r="J36" s="2" t="s">
        <v>27</v>
      </c>
      <c r="K36" s="2">
        <v>185.91065232564699</v>
      </c>
      <c r="L36" s="2">
        <v>479.011323212707</v>
      </c>
      <c r="M36" s="2" t="s">
        <v>27</v>
      </c>
      <c r="N36" s="2" t="s">
        <v>27</v>
      </c>
      <c r="O36" s="2">
        <v>536.71953978514205</v>
      </c>
      <c r="P36" s="2">
        <v>369.52851300674098</v>
      </c>
      <c r="Q36" s="2">
        <v>89.132703419627305</v>
      </c>
      <c r="S36" s="2">
        <f t="shared" si="1"/>
        <v>344.6304284975331</v>
      </c>
      <c r="T36" s="24">
        <f t="shared" si="0"/>
        <v>8.4161995049100741E-2</v>
      </c>
      <c r="U36" s="2" cm="1">
        <f t="array" ref="U36">SUMPRODUCT(B$2:Q$2, B36:Q36, --ISNUMBER(B36:Q36)) /
 SUMPRODUCT(B$2:Q$2, --ISNUMBER(B36:Q36))</f>
        <v>312.79962592593665</v>
      </c>
      <c r="V36" s="2">
        <f t="shared" si="2"/>
        <v>1.7132888805823143E-2</v>
      </c>
      <c r="W36" s="7">
        <v>7.7899540761625996</v>
      </c>
      <c r="X36" s="2">
        <f t="shared" si="3"/>
        <v>7.7899540761626002E-2</v>
      </c>
      <c r="AA36" s="2" cm="1">
        <f t="array" ref="AA36">_xlfn.STDEV.S( _xlfn._xlws.FILTER(B36:Q36, ISNUMBER(B36:Q36)) )</f>
        <v>223.71648521532498</v>
      </c>
      <c r="AB36" s="2" cm="1">
        <f t="array" ref="AB36">_xlfn.STDEV.S(_xlfn._xlws.FILTER(B36:Q36, ISNUMBER(B36:Q36))) /
 AVERAGE(_xlfn._xlws.FILTER(B36:Q36, ISNUMBER(B36:Q36)))</f>
        <v>0.64914896281982359</v>
      </c>
      <c r="AE36" s="2">
        <f t="shared" si="4"/>
        <v>1.7132888805823143E-2</v>
      </c>
    </row>
    <row r="37" spans="1:31" x14ac:dyDescent="0.3">
      <c r="A37" s="2">
        <v>1933</v>
      </c>
      <c r="B37">
        <v>278.76242136000002</v>
      </c>
      <c r="C37" s="2" t="s">
        <v>27</v>
      </c>
      <c r="D37">
        <v>146.09436320399999</v>
      </c>
      <c r="E37">
        <v>139.94089665300001</v>
      </c>
      <c r="F37">
        <v>204.378941776</v>
      </c>
      <c r="G37">
        <v>454.116074524</v>
      </c>
      <c r="H37">
        <v>606.90877022799998</v>
      </c>
      <c r="I37" s="2" t="s">
        <v>27</v>
      </c>
      <c r="J37" s="2" t="s">
        <v>27</v>
      </c>
      <c r="K37" s="2">
        <v>135.48609371858799</v>
      </c>
      <c r="L37" s="2">
        <v>382.00962025819399</v>
      </c>
      <c r="M37" s="2" t="s">
        <v>27</v>
      </c>
      <c r="N37" s="2" t="s">
        <v>27</v>
      </c>
      <c r="O37" s="2">
        <v>403.71342665142799</v>
      </c>
      <c r="P37" s="2">
        <v>267.672792506966</v>
      </c>
      <c r="Q37" s="2">
        <v>53.338298355279498</v>
      </c>
      <c r="S37" s="2">
        <f t="shared" si="1"/>
        <v>279.31106356685962</v>
      </c>
      <c r="T37" s="24">
        <f t="shared" si="0"/>
        <v>-0.12132413485334385</v>
      </c>
      <c r="U37" s="2" cm="1">
        <f t="array" ref="U37">SUMPRODUCT(B$2:Q$2, B37:Q37, --ISNUMBER(B37:Q37)) /
 SUMPRODUCT(B$2:Q$2, --ISNUMBER(B37:Q37))</f>
        <v>240.49521309077932</v>
      </c>
      <c r="V37" s="2">
        <f t="shared" si="2"/>
        <v>-0.21797991250502516</v>
      </c>
      <c r="W37" s="7">
        <v>-12.591254362517599</v>
      </c>
      <c r="X37" s="2">
        <f t="shared" si="3"/>
        <v>-0.12591254362517598</v>
      </c>
      <c r="AA37" s="2" cm="1">
        <f t="array" ref="AA37">_xlfn.STDEV.S( _xlfn._xlws.FILTER(B37:Q37, ISNUMBER(B37:Q37)) )</f>
        <v>166.90434663030095</v>
      </c>
      <c r="AB37" s="2" cm="1">
        <f t="array" ref="AB37">_xlfn.STDEV.S(_xlfn._xlws.FILTER(B37:Q37, ISNUMBER(B37:Q37))) /
 AVERAGE(_xlfn._xlws.FILTER(B37:Q37, ISNUMBER(B37:Q37)))</f>
        <v>0.59755723421370488</v>
      </c>
      <c r="AE37" s="2">
        <f t="shared" si="4"/>
        <v>-0.21797991250502516</v>
      </c>
    </row>
    <row r="38" spans="1:31" x14ac:dyDescent="0.3">
      <c r="A38" s="2">
        <v>1934</v>
      </c>
      <c r="B38">
        <v>132.93998749799999</v>
      </c>
      <c r="C38" s="2" t="s">
        <v>27</v>
      </c>
      <c r="D38">
        <v>51.99075002</v>
      </c>
      <c r="E38">
        <v>40.593514841999998</v>
      </c>
      <c r="F38">
        <v>112.54809215500001</v>
      </c>
      <c r="G38">
        <v>196.31548592499999</v>
      </c>
      <c r="H38">
        <v>359.51801791499997</v>
      </c>
      <c r="I38" s="2" t="s">
        <v>27</v>
      </c>
      <c r="J38" s="2" t="s">
        <v>27</v>
      </c>
      <c r="K38" s="2">
        <v>76.458957899294106</v>
      </c>
      <c r="L38" s="2">
        <v>202.614984363898</v>
      </c>
      <c r="M38" s="2" t="s">
        <v>27</v>
      </c>
      <c r="N38" s="2" t="s">
        <v>27</v>
      </c>
      <c r="O38" s="2">
        <v>164.60766193371401</v>
      </c>
      <c r="P38" s="2">
        <v>92.309968136629195</v>
      </c>
      <c r="Q38" s="2">
        <v>12.012514202236</v>
      </c>
      <c r="S38" s="2">
        <f t="shared" si="1"/>
        <v>131.08272135370646</v>
      </c>
      <c r="T38" s="24">
        <f t="shared" ref="T38:T69" si="5">((S38-$V$1)/$V$1)</f>
        <v>-0.5876310013631979</v>
      </c>
      <c r="U38" s="2" cm="1">
        <f t="array" ref="U38">SUMPRODUCT(B$2:Q$2, B38:Q38, --ISNUMBER(B38:Q38)) /
 SUMPRODUCT(B$2:Q$2, --ISNUMBER(B38:Q38))</f>
        <v>110.00180527881979</v>
      </c>
      <c r="V38" s="2">
        <f t="shared" si="2"/>
        <v>-0.64230630504784036</v>
      </c>
      <c r="W38" s="7">
        <v>-58.970315045584201</v>
      </c>
      <c r="X38" s="2">
        <f t="shared" si="3"/>
        <v>-0.58970315045584198</v>
      </c>
      <c r="AA38" s="2" cm="1">
        <f t="array" ref="AA38">_xlfn.STDEV.S( _xlfn._xlws.FILTER(B38:Q38, ISNUMBER(B38:Q38)) )</f>
        <v>98.04815096655139</v>
      </c>
      <c r="AB38" s="2" cm="1">
        <f t="array" ref="AB38">_xlfn.STDEV.S(_xlfn._xlws.FILTER(B38:Q38, ISNUMBER(B38:Q38))) /
 AVERAGE(_xlfn._xlws.FILTER(B38:Q38, ISNUMBER(B38:Q38)))</f>
        <v>0.74798684337643262</v>
      </c>
      <c r="AE38" s="2">
        <f t="shared" si="4"/>
        <v>-0.64230630504784036</v>
      </c>
    </row>
    <row r="39" spans="1:31" x14ac:dyDescent="0.3">
      <c r="A39" s="2">
        <v>1935</v>
      </c>
      <c r="B39">
        <v>259.55664439200001</v>
      </c>
      <c r="C39" s="2" t="s">
        <v>27</v>
      </c>
      <c r="D39">
        <v>55.937164416999998</v>
      </c>
      <c r="E39">
        <v>97.524993684999998</v>
      </c>
      <c r="F39">
        <v>146.074264927</v>
      </c>
      <c r="G39">
        <v>384.26360954199998</v>
      </c>
      <c r="H39">
        <v>701.03889477999996</v>
      </c>
      <c r="I39" s="2" t="s">
        <v>27</v>
      </c>
      <c r="J39" s="2" t="s">
        <v>27</v>
      </c>
      <c r="K39" s="2">
        <v>94.858614889411697</v>
      </c>
      <c r="L39" s="2">
        <v>314.89671883321199</v>
      </c>
      <c r="M39" s="2" t="s">
        <v>27</v>
      </c>
      <c r="N39" s="2" t="s">
        <v>27</v>
      </c>
      <c r="O39" s="2">
        <v>419.68021840457101</v>
      </c>
      <c r="P39" s="2">
        <v>211.387902763146</v>
      </c>
      <c r="Q39" s="2">
        <v>58.698721359503097</v>
      </c>
      <c r="S39" s="2">
        <f t="shared" si="1"/>
        <v>249.44706799934946</v>
      </c>
      <c r="T39" s="24">
        <f t="shared" si="5"/>
        <v>-0.21527233657123446</v>
      </c>
      <c r="U39" s="2" cm="1">
        <f t="array" ref="U39">SUMPRODUCT(B$2:Q$2, B39:Q39, --ISNUMBER(B39:Q39)) /
 SUMPRODUCT(B$2:Q$2, --ISNUMBER(B39:Q39))</f>
        <v>211.42472160179733</v>
      </c>
      <c r="V39" s="2">
        <f t="shared" si="2"/>
        <v>-0.31250864763271502</v>
      </c>
      <c r="W39" s="7">
        <v>-21.942187898912501</v>
      </c>
      <c r="X39" s="2">
        <f t="shared" si="3"/>
        <v>-0.21942187898912502</v>
      </c>
      <c r="AA39" s="2" cm="1">
        <f t="array" ref="AA39">_xlfn.STDEV.S( _xlfn._xlws.FILTER(B39:Q39, ISNUMBER(B39:Q39)) )</f>
        <v>197.08354097115796</v>
      </c>
      <c r="AB39" s="2" cm="1">
        <f t="array" ref="AB39">_xlfn.STDEV.S(_xlfn._xlws.FILTER(B39:Q39, ISNUMBER(B39:Q39))) /
 AVERAGE(_xlfn._xlws.FILTER(B39:Q39, ISNUMBER(B39:Q39)))</f>
        <v>0.7900816095047144</v>
      </c>
      <c r="AE39" s="2">
        <f t="shared" si="4"/>
        <v>-0.31250864763271502</v>
      </c>
    </row>
    <row r="40" spans="1:31" x14ac:dyDescent="0.3">
      <c r="A40" s="2">
        <v>1936</v>
      </c>
      <c r="B40">
        <v>384.66749119799999</v>
      </c>
      <c r="C40" s="2" t="s">
        <v>27</v>
      </c>
      <c r="D40">
        <v>188.40276937100001</v>
      </c>
      <c r="E40">
        <v>204.341625784</v>
      </c>
      <c r="F40">
        <v>201.100205356</v>
      </c>
      <c r="G40">
        <v>449.160702394</v>
      </c>
      <c r="H40">
        <v>756.01807121399997</v>
      </c>
      <c r="I40" s="2" t="s">
        <v>27</v>
      </c>
      <c r="J40" s="2" t="s">
        <v>27</v>
      </c>
      <c r="K40" s="2">
        <v>199.870501586823</v>
      </c>
      <c r="L40" s="2">
        <v>522.22378227985496</v>
      </c>
      <c r="M40" s="2" t="s">
        <v>27</v>
      </c>
      <c r="N40" s="2" t="s">
        <v>27</v>
      </c>
      <c r="O40" s="2">
        <v>526.07112850285705</v>
      </c>
      <c r="P40" s="2">
        <v>431.39378498157299</v>
      </c>
      <c r="Q40" s="2">
        <v>101.608698561987</v>
      </c>
      <c r="S40" s="2">
        <f t="shared" si="1"/>
        <v>360.44170556637226</v>
      </c>
      <c r="T40" s="24">
        <f t="shared" si="5"/>
        <v>0.13390219287771316</v>
      </c>
      <c r="U40" s="2" cm="1">
        <f t="array" ref="U40">SUMPRODUCT(B$2:Q$2, B40:Q40, --ISNUMBER(B40:Q40)) /
 SUMPRODUCT(B$2:Q$2, --ISNUMBER(B40:Q40))</f>
        <v>332.1119635525431</v>
      </c>
      <c r="V40" s="2">
        <f t="shared" si="2"/>
        <v>7.9930961858489288E-2</v>
      </c>
      <c r="W40" s="7">
        <v>12.7338814714316</v>
      </c>
      <c r="X40" s="2">
        <f t="shared" si="3"/>
        <v>0.12733881471431599</v>
      </c>
      <c r="AA40" s="2" cm="1">
        <f t="array" ref="AA40">_xlfn.STDEV.S( _xlfn._xlws.FILTER(B40:Q40, ISNUMBER(B40:Q40)) )</f>
        <v>198.92494439734335</v>
      </c>
      <c r="AB40" s="2" cm="1">
        <f t="array" ref="AB40">_xlfn.STDEV.S(_xlfn._xlws.FILTER(B40:Q40, ISNUMBER(B40:Q40))) /
 AVERAGE(_xlfn._xlws.FILTER(B40:Q40, ISNUMBER(B40:Q40)))</f>
        <v>0.55189214046350976</v>
      </c>
      <c r="AE40" s="2">
        <f t="shared" si="4"/>
        <v>7.9930961858489288E-2</v>
      </c>
    </row>
    <row r="41" spans="1:31" x14ac:dyDescent="0.3">
      <c r="A41" s="2">
        <v>1937</v>
      </c>
      <c r="B41">
        <v>336.336882237</v>
      </c>
      <c r="C41" s="2" t="s">
        <v>27</v>
      </c>
      <c r="D41">
        <v>137.25344694899999</v>
      </c>
      <c r="E41">
        <v>174.43013719699999</v>
      </c>
      <c r="F41">
        <v>189.401673786</v>
      </c>
      <c r="G41">
        <v>380.75732293900001</v>
      </c>
      <c r="H41">
        <v>706.42318627500003</v>
      </c>
      <c r="I41" s="2" t="s">
        <v>27</v>
      </c>
      <c r="J41" s="2" t="s">
        <v>27</v>
      </c>
      <c r="K41" s="2">
        <v>157.79306934211701</v>
      </c>
      <c r="L41" s="2">
        <v>367.94845830931399</v>
      </c>
      <c r="M41" s="2" t="s">
        <v>27</v>
      </c>
      <c r="N41" s="2" t="s">
        <v>27</v>
      </c>
      <c r="O41" s="2">
        <v>377.366181449142</v>
      </c>
      <c r="P41" s="2">
        <v>272.58655272269601</v>
      </c>
      <c r="Q41" s="2">
        <v>81.253527437515501</v>
      </c>
      <c r="S41" s="2">
        <f t="shared" si="1"/>
        <v>289.23185805852586</v>
      </c>
      <c r="T41" s="24">
        <f t="shared" si="5"/>
        <v>-9.0114620373011212E-2</v>
      </c>
      <c r="U41" s="2" cm="1">
        <f t="array" ref="U41">SUMPRODUCT(B$2:Q$2, B41:Q41, --ISNUMBER(B41:Q41)) /
 SUMPRODUCT(B$2:Q$2, --ISNUMBER(B41:Q41))</f>
        <v>246.73884883467991</v>
      </c>
      <c r="V41" s="2">
        <f t="shared" si="2"/>
        <v>-0.19767743534557811</v>
      </c>
      <c r="W41" s="7">
        <v>-9.5034468307732602</v>
      </c>
      <c r="X41" s="2">
        <f t="shared" si="3"/>
        <v>-9.50344683077326E-2</v>
      </c>
      <c r="AA41" s="2" cm="1">
        <f t="array" ref="AA41">_xlfn.STDEV.S( _xlfn._xlws.FILTER(B41:Q41, ISNUMBER(B41:Q41)) )</f>
        <v>174.83120605398901</v>
      </c>
      <c r="AB41" s="2" cm="1">
        <f t="array" ref="AB41">_xlfn.STDEV.S(_xlfn._xlws.FILTER(B41:Q41, ISNUMBER(B41:Q41))) /
 AVERAGE(_xlfn._xlws.FILTER(B41:Q41, ISNUMBER(B41:Q41)))</f>
        <v>0.60446731984348712</v>
      </c>
      <c r="AE41" s="2">
        <f t="shared" si="4"/>
        <v>-0.19767743534557811</v>
      </c>
    </row>
    <row r="42" spans="1:31" x14ac:dyDescent="0.3">
      <c r="A42" s="2">
        <v>1938</v>
      </c>
      <c r="B42">
        <v>333.224517488</v>
      </c>
      <c r="C42" s="2" t="s">
        <v>27</v>
      </c>
      <c r="D42">
        <v>131.393080873</v>
      </c>
      <c r="E42">
        <v>172.71665668</v>
      </c>
      <c r="F42">
        <v>232.58918990699999</v>
      </c>
      <c r="G42">
        <v>479.56263202000002</v>
      </c>
      <c r="H42">
        <v>968.50590520799994</v>
      </c>
      <c r="I42" s="2" t="s">
        <v>27</v>
      </c>
      <c r="J42" s="2" t="s">
        <v>27</v>
      </c>
      <c r="K42" s="2">
        <v>160.13170388329399</v>
      </c>
      <c r="L42" s="2">
        <v>424.188689910758</v>
      </c>
      <c r="M42" s="2" t="s">
        <v>27</v>
      </c>
      <c r="N42" s="2" t="s">
        <v>27</v>
      </c>
      <c r="O42" s="2">
        <v>455.47588981028503</v>
      </c>
      <c r="P42" s="2">
        <v>273.24630234606701</v>
      </c>
      <c r="Q42" s="2">
        <v>106.414464047701</v>
      </c>
      <c r="S42" s="2">
        <f t="shared" si="1"/>
        <v>339.76809383400956</v>
      </c>
      <c r="T42" s="24">
        <f t="shared" si="5"/>
        <v>6.886572979363792E-2</v>
      </c>
      <c r="U42" s="2" cm="1">
        <f t="array" ref="U42">SUMPRODUCT(B$2:Q$2, B42:Q42, --ISNUMBER(B42:Q42)) /
 SUMPRODUCT(B$2:Q$2, --ISNUMBER(B42:Q42))</f>
        <v>283.41295533901445</v>
      </c>
      <c r="V42" s="2">
        <f t="shared" si="2"/>
        <v>-7.8423968265158642E-2</v>
      </c>
      <c r="W42" s="7">
        <v>6.3035543116132198</v>
      </c>
      <c r="X42" s="2">
        <f t="shared" si="3"/>
        <v>6.3035543116132201E-2</v>
      </c>
      <c r="AA42" s="2" cm="1">
        <f t="array" ref="AA42">_xlfn.STDEV.S( _xlfn._xlws.FILTER(B42:Q42, ISNUMBER(B42:Q42)) )</f>
        <v>246.85494563437032</v>
      </c>
      <c r="AB42" s="2" cm="1">
        <f t="array" ref="AB42">_xlfn.STDEV.S(_xlfn._xlws.FILTER(B42:Q42, ISNUMBER(B42:Q42))) /
 AVERAGE(_xlfn._xlws.FILTER(B42:Q42, ISNUMBER(B42:Q42)))</f>
        <v>0.72653951361003588</v>
      </c>
      <c r="AE42" s="2">
        <f t="shared" si="4"/>
        <v>-7.8423968265158642E-2</v>
      </c>
    </row>
    <row r="43" spans="1:31" x14ac:dyDescent="0.3">
      <c r="A43" s="2">
        <v>1939</v>
      </c>
      <c r="B43">
        <v>245.04245718600001</v>
      </c>
      <c r="C43" s="2" t="s">
        <v>27</v>
      </c>
      <c r="D43">
        <v>87.840309844000004</v>
      </c>
      <c r="E43">
        <v>101.630812417</v>
      </c>
      <c r="F43">
        <v>145.48758972100001</v>
      </c>
      <c r="G43">
        <v>347.81323930899998</v>
      </c>
      <c r="H43">
        <v>785.906242109</v>
      </c>
      <c r="I43" s="2" t="s">
        <v>27</v>
      </c>
      <c r="J43" s="2" t="s">
        <v>27</v>
      </c>
      <c r="K43" s="2">
        <v>114.413197552941</v>
      </c>
      <c r="L43" s="2">
        <v>305.295912904548</v>
      </c>
      <c r="M43" s="2" t="s">
        <v>27</v>
      </c>
      <c r="N43" s="2" t="s">
        <v>27</v>
      </c>
      <c r="O43" s="2">
        <v>320.87368001828497</v>
      </c>
      <c r="P43" s="2">
        <v>187.740002200449</v>
      </c>
      <c r="Q43" s="2">
        <v>52.2175862459627</v>
      </c>
      <c r="S43" s="2">
        <f t="shared" si="1"/>
        <v>244.93282086438049</v>
      </c>
      <c r="T43" s="24">
        <f t="shared" si="5"/>
        <v>-0.22947356424961887</v>
      </c>
      <c r="U43" s="2" cm="1">
        <f t="array" ref="U43">SUMPRODUCT(B$2:Q$2, B43:Q43, --ISNUMBER(B43:Q43)) /
 SUMPRODUCT(B$2:Q$2, --ISNUMBER(B43:Q43))</f>
        <v>197.5792801108615</v>
      </c>
      <c r="V43" s="2">
        <f t="shared" si="2"/>
        <v>-0.35752997353353944</v>
      </c>
      <c r="W43" s="7">
        <v>-23.3493054549131</v>
      </c>
      <c r="X43" s="2">
        <f t="shared" si="3"/>
        <v>-0.233493054549131</v>
      </c>
      <c r="AA43" s="2" cm="1">
        <f t="array" ref="AA43">_xlfn.STDEV.S( _xlfn._xlws.FILTER(B43:Q43, ISNUMBER(B43:Q43)) )</f>
        <v>206.20275964527579</v>
      </c>
      <c r="AB43" s="2" cm="1">
        <f t="array" ref="AB43">_xlfn.STDEV.S(_xlfn._xlws.FILTER(B43:Q43, ISNUMBER(B43:Q43))) /
 AVERAGE(_xlfn._xlws.FILTER(B43:Q43, ISNUMBER(B43:Q43)))</f>
        <v>0.8418747594445517</v>
      </c>
      <c r="AE43" s="2">
        <f t="shared" si="4"/>
        <v>-0.35752997353353944</v>
      </c>
    </row>
    <row r="44" spans="1:31" x14ac:dyDescent="0.3">
      <c r="A44" s="2">
        <v>1940</v>
      </c>
      <c r="B44">
        <v>258.12049812599997</v>
      </c>
      <c r="C44" s="2" t="s">
        <v>27</v>
      </c>
      <c r="D44">
        <v>79.514916200999906</v>
      </c>
      <c r="E44">
        <v>94.439276645999996</v>
      </c>
      <c r="F44">
        <v>146.712525642</v>
      </c>
      <c r="G44">
        <v>308.36270397200002</v>
      </c>
      <c r="H44">
        <v>665.224204203</v>
      </c>
      <c r="I44" s="2">
        <v>24.129545067480901</v>
      </c>
      <c r="J44" s="2" t="s">
        <v>27</v>
      </c>
      <c r="K44" s="2">
        <v>82.438666526117601</v>
      </c>
      <c r="L44" s="2">
        <v>251.84229976722</v>
      </c>
      <c r="M44" s="2" t="s">
        <v>27</v>
      </c>
      <c r="N44" s="2" t="s">
        <v>27</v>
      </c>
      <c r="O44" s="2">
        <v>262.225865581714</v>
      </c>
      <c r="P44" s="2">
        <v>150.27859389842601</v>
      </c>
      <c r="Q44" s="2">
        <v>27.786062262857101</v>
      </c>
      <c r="S44" s="2">
        <f t="shared" si="1"/>
        <v>195.92292982448464</v>
      </c>
      <c r="T44" s="24">
        <f t="shared" si="5"/>
        <v>-0.38365223465490167</v>
      </c>
      <c r="U44" s="2" cm="1">
        <f t="array" ref="U44">SUMPRODUCT(B$2:Q$2, B44:Q44, --ISNUMBER(B44:Q44)) /
 SUMPRODUCT(B$2:Q$2, --ISNUMBER(B44:Q44))</f>
        <v>154.08973252059053</v>
      </c>
      <c r="V44" s="2">
        <f t="shared" si="2"/>
        <v>-0.49894526149115465</v>
      </c>
      <c r="W44" s="7">
        <v>-38.718842952072698</v>
      </c>
      <c r="X44" s="2">
        <f t="shared" si="3"/>
        <v>-0.38718842952072696</v>
      </c>
      <c r="AA44" s="2" cm="1">
        <f t="array" ref="AA44">_xlfn.STDEV.S( _xlfn._xlws.FILTER(B44:Q44, ISNUMBER(B44:Q44)) )</f>
        <v>176.65952351842134</v>
      </c>
      <c r="AB44" s="2" cm="1">
        <f t="array" ref="AB44">_xlfn.STDEV.S(_xlfn._xlws.FILTER(B44:Q44, ISNUMBER(B44:Q44))) /
 AVERAGE(_xlfn._xlws.FILTER(B44:Q44, ISNUMBER(B44:Q44)))</f>
        <v>0.90167865331883201</v>
      </c>
      <c r="AE44" s="2">
        <f t="shared" si="4"/>
        <v>-0.49894526149115465</v>
      </c>
    </row>
    <row r="45" spans="1:31" x14ac:dyDescent="0.3">
      <c r="A45" s="2">
        <v>1941</v>
      </c>
      <c r="B45">
        <v>323.49194714100003</v>
      </c>
      <c r="C45" s="2" t="s">
        <v>27</v>
      </c>
      <c r="D45">
        <v>109.53373773600001</v>
      </c>
      <c r="E45">
        <v>145.38627962000001</v>
      </c>
      <c r="F45">
        <v>201.74720933500001</v>
      </c>
      <c r="G45">
        <v>459.902794503</v>
      </c>
      <c r="H45">
        <v>897.10446709600001</v>
      </c>
      <c r="I45" s="2">
        <v>15.3573722205801</v>
      </c>
      <c r="J45" s="2" t="s">
        <v>27</v>
      </c>
      <c r="K45" s="2">
        <v>69.583372348235201</v>
      </c>
      <c r="L45" s="2">
        <v>216.543660490397</v>
      </c>
      <c r="M45" s="2" t="s">
        <v>27</v>
      </c>
      <c r="N45" s="2" t="s">
        <v>27</v>
      </c>
      <c r="O45" s="2">
        <v>356.081009225142</v>
      </c>
      <c r="P45" s="2">
        <v>151.00019504898799</v>
      </c>
      <c r="Q45" s="2">
        <v>41.983015322236</v>
      </c>
      <c r="S45" s="2">
        <f t="shared" si="1"/>
        <v>248.97625500721492</v>
      </c>
      <c r="T45" s="24">
        <f t="shared" si="5"/>
        <v>-0.21675345231331489</v>
      </c>
      <c r="U45" s="2" cm="1">
        <f t="array" ref="U45">SUMPRODUCT(B$2:Q$2, B45:Q45, --ISNUMBER(B45:Q45)) /
 SUMPRODUCT(B$2:Q$2, --ISNUMBER(B45:Q45))</f>
        <v>175.39583797995118</v>
      </c>
      <c r="V45" s="2">
        <f t="shared" si="2"/>
        <v>-0.42966403862865599</v>
      </c>
      <c r="W45" s="7">
        <v>-22.0615258632298</v>
      </c>
      <c r="X45" s="2">
        <f t="shared" si="3"/>
        <v>-0.220615258632298</v>
      </c>
      <c r="AA45" s="2" cm="1">
        <f t="array" ref="AA45">_xlfn.STDEV.S( _xlfn._xlws.FILTER(B45:Q45, ISNUMBER(B45:Q45)) )</f>
        <v>243.87904118614063</v>
      </c>
      <c r="AB45" s="2" cm="1">
        <f t="array" ref="AB45">_xlfn.STDEV.S(_xlfn._xlws.FILTER(B45:Q45, ISNUMBER(B45:Q45))) /
 AVERAGE(_xlfn._xlws.FILTER(B45:Q45, ISNUMBER(B45:Q45)))</f>
        <v>0.97952730945797795</v>
      </c>
      <c r="AE45" s="2">
        <f t="shared" si="4"/>
        <v>-0.42966403862865599</v>
      </c>
    </row>
    <row r="46" spans="1:31" x14ac:dyDescent="0.3">
      <c r="A46" s="2">
        <v>1942</v>
      </c>
      <c r="B46">
        <v>412.79023605499998</v>
      </c>
      <c r="C46" s="2" t="s">
        <v>27</v>
      </c>
      <c r="D46">
        <v>184.96002647500001</v>
      </c>
      <c r="E46">
        <v>25.918207754000001</v>
      </c>
      <c r="F46">
        <v>276.52862960200002</v>
      </c>
      <c r="G46">
        <v>539.99123006299999</v>
      </c>
      <c r="H46">
        <v>836.93682297800001</v>
      </c>
      <c r="I46" s="2" t="s">
        <v>27</v>
      </c>
      <c r="J46" s="2" t="s">
        <v>27</v>
      </c>
      <c r="K46" s="2">
        <v>81.809034149647005</v>
      </c>
      <c r="L46" s="2">
        <v>267.18857419321301</v>
      </c>
      <c r="M46" s="2" t="s">
        <v>27</v>
      </c>
      <c r="N46" s="2" t="s">
        <v>27</v>
      </c>
      <c r="O46" s="2">
        <v>433.689752941714</v>
      </c>
      <c r="P46" s="2">
        <v>217.16758435955001</v>
      </c>
      <c r="Q46" s="2">
        <v>99.712985536397497</v>
      </c>
      <c r="S46" s="2">
        <f t="shared" si="1"/>
        <v>306.97209855522919</v>
      </c>
      <c r="T46" s="24">
        <f t="shared" si="5"/>
        <v>-3.4306157337964931E-2</v>
      </c>
      <c r="U46" s="2" cm="1">
        <f t="array" ref="U46">SUMPRODUCT(B$2:Q$2, B46:Q46, --ISNUMBER(B46:Q46)) /
 SUMPRODUCT(B$2:Q$2, --ISNUMBER(B46:Q46))</f>
        <v>224.04123304625597</v>
      </c>
      <c r="V46" s="2">
        <f t="shared" si="2"/>
        <v>-0.2714834427777949</v>
      </c>
      <c r="W46" s="7">
        <v>-3.9467286134552002</v>
      </c>
      <c r="X46" s="2">
        <f t="shared" si="3"/>
        <v>-3.9467286134551999E-2</v>
      </c>
      <c r="AA46" s="2" cm="1">
        <f t="array" ref="AA46">_xlfn.STDEV.S( _xlfn._xlws.FILTER(B46:Q46, ISNUMBER(B46:Q46)) )</f>
        <v>236.75361287432327</v>
      </c>
      <c r="AB46" s="2" cm="1">
        <f t="array" ref="AB46">_xlfn.STDEV.S(_xlfn._xlws.FILTER(B46:Q46, ISNUMBER(B46:Q46))) /
 AVERAGE(_xlfn._xlws.FILTER(B46:Q46, ISNUMBER(B46:Q46)))</f>
        <v>0.7712545015934974</v>
      </c>
      <c r="AE46" s="2">
        <f t="shared" si="4"/>
        <v>-0.2714834427777949</v>
      </c>
    </row>
    <row r="47" spans="1:31" x14ac:dyDescent="0.3">
      <c r="A47" s="2">
        <v>1943</v>
      </c>
      <c r="B47">
        <v>313.12275673200003</v>
      </c>
      <c r="C47" s="2" t="s">
        <v>27</v>
      </c>
      <c r="D47">
        <v>96.912322439999997</v>
      </c>
      <c r="E47">
        <v>182.52197626700001</v>
      </c>
      <c r="F47">
        <v>207.31231794000001</v>
      </c>
      <c r="G47">
        <v>429.853033079</v>
      </c>
      <c r="H47">
        <v>685.14850025600003</v>
      </c>
      <c r="I47" s="2" t="s">
        <v>27</v>
      </c>
      <c r="J47" s="2">
        <v>472.899717773617</v>
      </c>
      <c r="K47" s="2">
        <v>153.82098852141101</v>
      </c>
      <c r="L47" s="2">
        <v>466.68130934295999</v>
      </c>
      <c r="M47" s="2">
        <v>371.09770408017698</v>
      </c>
      <c r="N47" s="2" t="s">
        <v>27</v>
      </c>
      <c r="O47" s="2">
        <v>449.31285964800003</v>
      </c>
      <c r="P47" s="2">
        <v>300.42661235056102</v>
      </c>
      <c r="Q47" s="2">
        <v>93.809302085962699</v>
      </c>
      <c r="S47" s="2">
        <f t="shared" si="1"/>
        <v>324.83995388589915</v>
      </c>
      <c r="T47" s="24">
        <f t="shared" si="5"/>
        <v>2.1903765178167483E-2</v>
      </c>
      <c r="U47" s="2" cm="1">
        <f t="array" ref="U47">SUMPRODUCT(B$2:Q$2, B47:Q47, --ISNUMBER(B47:Q47)) /
 SUMPRODUCT(B$2:Q$2, --ISNUMBER(B47:Q47))</f>
        <v>310.55284409242512</v>
      </c>
      <c r="V47" s="2">
        <f t="shared" si="2"/>
        <v>9.8270114727820601E-3</v>
      </c>
      <c r="W47" s="7">
        <v>1.7288131356982399</v>
      </c>
      <c r="X47" s="2">
        <f t="shared" si="3"/>
        <v>1.72881313569824E-2</v>
      </c>
      <c r="AA47" s="2" cm="1">
        <f t="array" ref="AA47">_xlfn.STDEV.S( _xlfn._xlws.FILTER(B47:Q47, ISNUMBER(B47:Q47)) )</f>
        <v>175.57003649822161</v>
      </c>
      <c r="AB47" s="2" cm="1">
        <f t="array" ref="AB47">_xlfn.STDEV.S(_xlfn._xlws.FILTER(B47:Q47, ISNUMBER(B47:Q47))) /
 AVERAGE(_xlfn._xlws.FILTER(B47:Q47, ISNUMBER(B47:Q47)))</f>
        <v>0.54048165688353422</v>
      </c>
      <c r="AE47" s="2">
        <f t="shared" si="4"/>
        <v>9.8270114727820601E-3</v>
      </c>
    </row>
    <row r="48" spans="1:31" x14ac:dyDescent="0.3">
      <c r="A48" s="2">
        <v>1944</v>
      </c>
      <c r="B48">
        <v>317.46334805499998</v>
      </c>
      <c r="C48" s="2" t="s">
        <v>27</v>
      </c>
      <c r="D48">
        <v>121.74036466</v>
      </c>
      <c r="E48">
        <v>176.26704638300001</v>
      </c>
      <c r="F48">
        <v>236.471213869</v>
      </c>
      <c r="G48">
        <v>481.03096171099997</v>
      </c>
      <c r="H48">
        <v>792.79288558400003</v>
      </c>
      <c r="I48" s="2">
        <v>57.358095055145</v>
      </c>
      <c r="J48" s="2">
        <v>334.752292820425</v>
      </c>
      <c r="K48" s="2">
        <v>110.020162514823</v>
      </c>
      <c r="L48" s="2">
        <v>312.94034485602799</v>
      </c>
      <c r="M48" s="2">
        <v>404.73670628753803</v>
      </c>
      <c r="N48" s="2" t="s">
        <v>27</v>
      </c>
      <c r="O48" s="2">
        <v>473.40576394971401</v>
      </c>
      <c r="P48" s="2">
        <v>216.59030343910101</v>
      </c>
      <c r="Q48" s="2">
        <v>116.379304260372</v>
      </c>
      <c r="S48" s="2">
        <f t="shared" si="1"/>
        <v>296.56777096036751</v>
      </c>
      <c r="T48" s="24">
        <f t="shared" si="5"/>
        <v>-6.7036803356560468E-2</v>
      </c>
      <c r="U48" s="2" cm="1">
        <f t="array" ref="U48">SUMPRODUCT(B$2:Q$2, B48:Q48, --ISNUMBER(B48:Q48)) /
 SUMPRODUCT(B$2:Q$2, --ISNUMBER(B48:Q48))</f>
        <v>267.0263210266512</v>
      </c>
      <c r="V48" s="2">
        <f t="shared" si="2"/>
        <v>-0.13170850991574579</v>
      </c>
      <c r="W48" s="7">
        <v>-7.1547877318397202</v>
      </c>
      <c r="X48" s="2">
        <f t="shared" si="3"/>
        <v>-7.1547877318397207E-2</v>
      </c>
      <c r="AA48" s="2" cm="1">
        <f t="array" ref="AA48">_xlfn.STDEV.S( _xlfn._xlws.FILTER(B48:Q48, ISNUMBER(B48:Q48)) )</f>
        <v>197.08159421051536</v>
      </c>
      <c r="AB48" s="2" cm="1">
        <f t="array" ref="AB48">_xlfn.STDEV.S(_xlfn._xlws.FILTER(B48:Q48, ISNUMBER(B48:Q48))) /
 AVERAGE(_xlfn._xlws.FILTER(B48:Q48, ISNUMBER(B48:Q48)))</f>
        <v>0.66454150959260105</v>
      </c>
      <c r="AE48" s="2">
        <f t="shared" si="4"/>
        <v>-0.13170850991574579</v>
      </c>
    </row>
    <row r="49" spans="1:31" x14ac:dyDescent="0.3">
      <c r="A49" s="2">
        <v>1945</v>
      </c>
      <c r="B49">
        <v>271.260164729</v>
      </c>
      <c r="C49" s="2" t="s">
        <v>27</v>
      </c>
      <c r="D49">
        <v>78.477945470999899</v>
      </c>
      <c r="E49">
        <v>102.49844344100001</v>
      </c>
      <c r="F49">
        <v>184.97319382800001</v>
      </c>
      <c r="G49">
        <v>457.02386765</v>
      </c>
      <c r="H49">
        <v>830.93190468199998</v>
      </c>
      <c r="I49" s="2" t="s">
        <v>27</v>
      </c>
      <c r="J49" s="2">
        <v>364.48131790978698</v>
      </c>
      <c r="K49" s="2">
        <v>130.43104521035201</v>
      </c>
      <c r="L49" s="2">
        <v>353.95795546570298</v>
      </c>
      <c r="M49" s="2">
        <v>339.11325689188402</v>
      </c>
      <c r="N49" s="2" t="s">
        <v>27</v>
      </c>
      <c r="O49" s="2">
        <v>389.71554245485697</v>
      </c>
      <c r="P49" s="2">
        <v>274.04349980763999</v>
      </c>
      <c r="Q49" s="2">
        <v>62.380355614211098</v>
      </c>
      <c r="S49" s="2">
        <f t="shared" si="1"/>
        <v>295.32988408887945</v>
      </c>
      <c r="T49" s="24">
        <f t="shared" si="5"/>
        <v>-7.0931032621482121E-2</v>
      </c>
      <c r="U49" s="2" cm="1">
        <f t="array" ref="U49">SUMPRODUCT(B$2:Q$2, B49:Q49, --ISNUMBER(B49:Q49)) /
 SUMPRODUCT(B$2:Q$2, --ISNUMBER(B49:Q49))</f>
        <v>262.11274563387184</v>
      </c>
      <c r="V49" s="2">
        <f t="shared" si="2"/>
        <v>-0.14768601985946364</v>
      </c>
      <c r="W49" s="7">
        <v>-7.4878748727406998</v>
      </c>
      <c r="X49" s="2">
        <f t="shared" si="3"/>
        <v>-7.4878748727407005E-2</v>
      </c>
      <c r="AA49" s="2" cm="1">
        <f t="array" ref="AA49">_xlfn.STDEV.S( _xlfn._xlws.FILTER(B49:Q49, ISNUMBER(B49:Q49)) )</f>
        <v>206.34440766011221</v>
      </c>
      <c r="AB49" s="2" cm="1">
        <f t="array" ref="AB49">_xlfn.STDEV.S(_xlfn._xlws.FILTER(B49:Q49, ISNUMBER(B49:Q49))) /
 AVERAGE(_xlfn._xlws.FILTER(B49:Q49, ISNUMBER(B49:Q49)))</f>
        <v>0.69869125603967974</v>
      </c>
      <c r="AE49" s="2">
        <f t="shared" si="4"/>
        <v>-0.14768601985946364</v>
      </c>
    </row>
    <row r="50" spans="1:31" x14ac:dyDescent="0.3">
      <c r="A50" s="2">
        <v>1946</v>
      </c>
      <c r="B50">
        <v>268.76298502899999</v>
      </c>
      <c r="C50" s="2" t="s">
        <v>27</v>
      </c>
      <c r="D50">
        <v>70.496233573000097</v>
      </c>
      <c r="E50">
        <v>163.47039642999999</v>
      </c>
      <c r="F50">
        <v>223.030143178</v>
      </c>
      <c r="G50">
        <v>470.33505557500001</v>
      </c>
      <c r="H50">
        <v>576.75121204499999</v>
      </c>
      <c r="I50" s="2" t="s">
        <v>27</v>
      </c>
      <c r="J50" s="2">
        <v>415.18260855829698</v>
      </c>
      <c r="K50" s="2">
        <v>226.764798810352</v>
      </c>
      <c r="L50" s="2">
        <v>482.16890197949402</v>
      </c>
      <c r="M50" s="2">
        <v>344.950310008337</v>
      </c>
      <c r="N50" s="2" t="s">
        <v>27</v>
      </c>
      <c r="O50" s="2">
        <v>429.49563033599998</v>
      </c>
      <c r="P50" s="2">
        <v>349.99030280629199</v>
      </c>
      <c r="Q50" s="2">
        <v>90.487815315875693</v>
      </c>
      <c r="S50" s="2">
        <f t="shared" si="1"/>
        <v>316.29895335728065</v>
      </c>
      <c r="T50" s="24">
        <f t="shared" si="5"/>
        <v>-4.96509899378632E-3</v>
      </c>
      <c r="U50" s="2" cm="1">
        <f t="array" ref="U50">SUMPRODUCT(B$2:Q$2, B50:Q50, --ISNUMBER(B50:Q50)) /
 SUMPRODUCT(B$2:Q$2, --ISNUMBER(B50:Q50))</f>
        <v>315.97774596052841</v>
      </c>
      <c r="V50" s="2">
        <f t="shared" si="2"/>
        <v>2.746720554992747E-2</v>
      </c>
      <c r="W50" s="7">
        <v>-0.95386571638988704</v>
      </c>
      <c r="X50" s="2">
        <f t="shared" si="3"/>
        <v>-9.5386571638988709E-3</v>
      </c>
      <c r="AA50" s="2" cm="1">
        <f t="array" ref="AA50">_xlfn.STDEV.S( _xlfn._xlws.FILTER(B50:Q50, ISNUMBER(B50:Q50)) )</f>
        <v>157.41773801615017</v>
      </c>
      <c r="AB50" s="2" cm="1">
        <f t="array" ref="AB50">_xlfn.STDEV.S(_xlfn._xlws.FILTER(B50:Q50, ISNUMBER(B50:Q50))) /
 AVERAGE(_xlfn._xlws.FILTER(B50:Q50, ISNUMBER(B50:Q50)))</f>
        <v>0.49768655996258193</v>
      </c>
      <c r="AE50" s="2">
        <f t="shared" si="4"/>
        <v>2.746720554992747E-2</v>
      </c>
    </row>
    <row r="51" spans="1:31" x14ac:dyDescent="0.3">
      <c r="A51" s="2">
        <v>1947</v>
      </c>
      <c r="B51">
        <v>295.47637738200001</v>
      </c>
      <c r="C51" s="2" t="s">
        <v>27</v>
      </c>
      <c r="D51">
        <v>118.17318535699999</v>
      </c>
      <c r="E51">
        <v>167.23134092399999</v>
      </c>
      <c r="F51">
        <v>210.486134816</v>
      </c>
      <c r="G51">
        <v>524.95768950199999</v>
      </c>
      <c r="H51">
        <v>688.99935655700006</v>
      </c>
      <c r="I51" s="2" t="s">
        <v>27</v>
      </c>
      <c r="J51" s="2">
        <v>469.34842956255301</v>
      </c>
      <c r="K51" s="2">
        <v>147.805300901647</v>
      </c>
      <c r="L51" s="2">
        <v>390.700690206498</v>
      </c>
      <c r="M51" s="2">
        <v>451.73149359964498</v>
      </c>
      <c r="N51" s="2" t="s">
        <v>27</v>
      </c>
      <c r="O51" s="2">
        <v>460.47971108571397</v>
      </c>
      <c r="P51" s="2">
        <v>234.26609543191</v>
      </c>
      <c r="Q51" s="2">
        <v>89.202985365465807</v>
      </c>
      <c r="S51" s="2">
        <f t="shared" si="1"/>
        <v>326.83529159164874</v>
      </c>
      <c r="T51" s="24">
        <f t="shared" si="5"/>
        <v>2.8180835131895197E-2</v>
      </c>
      <c r="U51" s="2" cm="1">
        <f t="array" ref="U51">SUMPRODUCT(B$2:Q$2, B51:Q51, --ISNUMBER(B51:Q51)) /
 SUMPRODUCT(B$2:Q$2, --ISNUMBER(B51:Q51))</f>
        <v>305.00378479594093</v>
      </c>
      <c r="V51" s="2">
        <f t="shared" si="2"/>
        <v>-8.216906245086834E-3</v>
      </c>
      <c r="W51" s="7">
        <v>2.3870978675251</v>
      </c>
      <c r="X51" s="2">
        <f t="shared" si="3"/>
        <v>2.3870978675250999E-2</v>
      </c>
      <c r="AA51" s="2" cm="1">
        <f t="array" ref="AA51">_xlfn.STDEV.S( _xlfn._xlws.FILTER(B51:Q51, ISNUMBER(B51:Q51)) )</f>
        <v>184.59136859442617</v>
      </c>
      <c r="AB51" s="2" cm="1">
        <f t="array" ref="AB51">_xlfn.STDEV.S(_xlfn._xlws.FILTER(B51:Q51, ISNUMBER(B51:Q51))) /
 AVERAGE(_xlfn._xlws.FILTER(B51:Q51, ISNUMBER(B51:Q51)))</f>
        <v>0.56478407731150548</v>
      </c>
      <c r="AE51" s="2">
        <f t="shared" si="4"/>
        <v>-8.216906245086834E-3</v>
      </c>
    </row>
    <row r="52" spans="1:31" x14ac:dyDescent="0.3">
      <c r="A52" s="2">
        <v>1948</v>
      </c>
      <c r="B52">
        <v>325.05670352300001</v>
      </c>
      <c r="C52" s="2" t="s">
        <v>27</v>
      </c>
      <c r="D52">
        <v>141.11690362799999</v>
      </c>
      <c r="E52">
        <v>213.28838998099999</v>
      </c>
      <c r="F52">
        <v>261.66502451299999</v>
      </c>
      <c r="G52">
        <v>531.65658280399998</v>
      </c>
      <c r="H52">
        <v>816.82533731599995</v>
      </c>
      <c r="I52" s="2" t="s">
        <v>27</v>
      </c>
      <c r="J52" s="2">
        <v>404.25690264510598</v>
      </c>
      <c r="K52" s="2">
        <v>184.04334259199999</v>
      </c>
      <c r="L52" s="2">
        <v>432.62803679653399</v>
      </c>
      <c r="M52" s="2">
        <v>324.02154520975603</v>
      </c>
      <c r="N52" s="2" t="s">
        <v>27</v>
      </c>
      <c r="O52" s="2">
        <v>419.53458914742799</v>
      </c>
      <c r="P52" s="2">
        <v>311.573632028764</v>
      </c>
      <c r="Q52" s="2">
        <v>98.043694347130398</v>
      </c>
      <c r="S52" s="2">
        <f t="shared" si="1"/>
        <v>343.36236034859371</v>
      </c>
      <c r="T52" s="24">
        <f t="shared" si="5"/>
        <v>8.0172819455390246E-2</v>
      </c>
      <c r="U52" s="2" cm="1">
        <f t="array" ref="U52">SUMPRODUCT(B$2:Q$2, B52:Q52, --ISNUMBER(B52:Q52)) /
 SUMPRODUCT(B$2:Q$2, --ISNUMBER(B52:Q52))</f>
        <v>305.03197742659921</v>
      </c>
      <c r="V52" s="2">
        <f t="shared" si="2"/>
        <v>-8.1252320566040023E-3</v>
      </c>
      <c r="W52" s="7">
        <v>7.4707458148304999</v>
      </c>
      <c r="X52" s="2">
        <f t="shared" si="3"/>
        <v>7.4707458148304998E-2</v>
      </c>
      <c r="AA52" s="2" cm="1">
        <f t="array" ref="AA52">_xlfn.STDEV.S( _xlfn._xlws.FILTER(B52:Q52, ISNUMBER(B52:Q52)) )</f>
        <v>189.05048299642266</v>
      </c>
      <c r="AB52" s="2" cm="1">
        <f t="array" ref="AB52">_xlfn.STDEV.S(_xlfn._xlws.FILTER(B52:Q52, ISNUMBER(B52:Q52))) /
 AVERAGE(_xlfn._xlws.FILTER(B52:Q52, ISNUMBER(B52:Q52)))</f>
        <v>0.55058592562240039</v>
      </c>
      <c r="AE52" s="2">
        <f t="shared" si="4"/>
        <v>-8.1252320566040023E-3</v>
      </c>
    </row>
    <row r="53" spans="1:31" x14ac:dyDescent="0.3">
      <c r="A53" s="2">
        <v>1949</v>
      </c>
      <c r="B53">
        <v>371.24381059299998</v>
      </c>
      <c r="C53" s="2" t="s">
        <v>27</v>
      </c>
      <c r="D53">
        <v>162.87551253000001</v>
      </c>
      <c r="E53">
        <v>197.220880005</v>
      </c>
      <c r="F53">
        <v>258.76662148700001</v>
      </c>
      <c r="G53">
        <v>494.89830595400002</v>
      </c>
      <c r="H53">
        <v>849.30411569600005</v>
      </c>
      <c r="I53" s="2" t="s">
        <v>27</v>
      </c>
      <c r="J53" s="2">
        <v>370.456042212765</v>
      </c>
      <c r="K53" s="2">
        <v>178.650091550117</v>
      </c>
      <c r="L53" s="2">
        <v>408.71876205054099</v>
      </c>
      <c r="M53" s="2">
        <v>354.92103828718399</v>
      </c>
      <c r="N53" s="2" t="s">
        <v>27</v>
      </c>
      <c r="O53" s="2">
        <v>463.92821189485699</v>
      </c>
      <c r="P53" s="2">
        <v>333.79894746606698</v>
      </c>
      <c r="Q53" s="2">
        <v>101.29375946414901</v>
      </c>
      <c r="S53" s="2">
        <f t="shared" si="1"/>
        <v>349.69816147620617</v>
      </c>
      <c r="T53" s="24">
        <f t="shared" si="5"/>
        <v>0.10010441638574032</v>
      </c>
      <c r="U53" s="2" cm="1">
        <f t="array" ref="U53">SUMPRODUCT(B$2:Q$2, B53:Q53, --ISNUMBER(B53:Q53)) /
 SUMPRODUCT(B$2:Q$2, --ISNUMBER(B53:Q53))</f>
        <v>307.45790830500079</v>
      </c>
      <c r="V53" s="2">
        <f t="shared" si="2"/>
        <v>-2.3681443114276592E-4</v>
      </c>
      <c r="W53" s="7">
        <v>9.5158481330061999</v>
      </c>
      <c r="X53" s="2">
        <f t="shared" si="3"/>
        <v>9.5158481330061995E-2</v>
      </c>
      <c r="AA53" s="2" cm="1">
        <f t="array" ref="AA53">_xlfn.STDEV.S( _xlfn._xlws.FILTER(B53:Q53, ISNUMBER(B53:Q53)) )</f>
        <v>192.7388243343068</v>
      </c>
      <c r="AB53" s="2" cm="1">
        <f t="array" ref="AB53">_xlfn.STDEV.S(_xlfn._xlws.FILTER(B53:Q53, ISNUMBER(B53:Q53))) /
 AVERAGE(_xlfn._xlws.FILTER(B53:Q53, ISNUMBER(B53:Q53)))</f>
        <v>0.55115767129196347</v>
      </c>
      <c r="AE53" s="2">
        <f t="shared" si="4"/>
        <v>-2.3681443114276592E-4</v>
      </c>
    </row>
    <row r="54" spans="1:31" x14ac:dyDescent="0.3">
      <c r="A54" s="2">
        <v>1950</v>
      </c>
      <c r="B54">
        <v>377.46532483499999</v>
      </c>
      <c r="C54" s="2" t="s">
        <v>27</v>
      </c>
      <c r="D54">
        <v>187.780586887</v>
      </c>
      <c r="E54">
        <v>254.20681267399999</v>
      </c>
      <c r="F54">
        <v>309.831848321</v>
      </c>
      <c r="G54">
        <v>494.02654535200003</v>
      </c>
      <c r="H54">
        <v>849.146627782</v>
      </c>
      <c r="I54" s="2">
        <v>203.12146451541901</v>
      </c>
      <c r="J54" s="2">
        <v>515.30117359659505</v>
      </c>
      <c r="K54" s="2">
        <v>252.997082563764</v>
      </c>
      <c r="L54" s="2">
        <v>585.08830500043302</v>
      </c>
      <c r="M54" s="2">
        <v>452.474687165587</v>
      </c>
      <c r="N54" s="2" t="s">
        <v>27</v>
      </c>
      <c r="O54" s="2">
        <v>585.83737563428497</v>
      </c>
      <c r="P54" s="2">
        <v>414.24029477393202</v>
      </c>
      <c r="Q54" s="2">
        <v>168.69110630399999</v>
      </c>
      <c r="S54" s="2">
        <f t="shared" si="1"/>
        <v>403.58637395750111</v>
      </c>
      <c r="T54" s="24">
        <f t="shared" si="5"/>
        <v>0.26962964434676689</v>
      </c>
      <c r="U54" s="2" cm="1">
        <f t="array" ref="U54">SUMPRODUCT(B$2:Q$2, B54:Q54, --ISNUMBER(B54:Q54)) /
 SUMPRODUCT(B$2:Q$2, --ISNUMBER(B54:Q54))</f>
        <v>397.97755015202131</v>
      </c>
      <c r="V54" s="2">
        <f t="shared" si="2"/>
        <v>0.29410658362435399</v>
      </c>
      <c r="W54" s="7">
        <v>26.343859233918899</v>
      </c>
      <c r="X54" s="2">
        <f t="shared" si="3"/>
        <v>0.26343859233918898</v>
      </c>
      <c r="AA54" s="2" cm="1">
        <f t="array" ref="AA54">_xlfn.STDEV.S( _xlfn._xlws.FILTER(B54:Q54, ISNUMBER(B54:Q54)) )</f>
        <v>193.00124059845905</v>
      </c>
      <c r="AB54" s="2" cm="1">
        <f t="array" ref="AB54">_xlfn.STDEV.S(_xlfn._xlws.FILTER(B54:Q54, ISNUMBER(B54:Q54))) /
 AVERAGE(_xlfn._xlws.FILTER(B54:Q54, ISNUMBER(B54:Q54)))</f>
        <v>0.47821545288043515</v>
      </c>
      <c r="AE54" s="2">
        <f t="shared" si="4"/>
        <v>0.29410658362435399</v>
      </c>
    </row>
    <row r="55" spans="1:31" x14ac:dyDescent="0.3">
      <c r="A55" s="2">
        <v>1951</v>
      </c>
      <c r="B55">
        <v>314.38206408299999</v>
      </c>
      <c r="C55" s="2" t="s">
        <v>27</v>
      </c>
      <c r="D55">
        <v>145.71512818299999</v>
      </c>
      <c r="E55">
        <v>202.15621209099999</v>
      </c>
      <c r="F55">
        <v>253.931578194</v>
      </c>
      <c r="G55">
        <v>510.16085209099998</v>
      </c>
      <c r="H55">
        <v>775.77313679400004</v>
      </c>
      <c r="I55" s="2">
        <v>209.44706584232</v>
      </c>
      <c r="J55" s="2">
        <v>516.15140057872304</v>
      </c>
      <c r="K55" s="2">
        <v>248.29462818635201</v>
      </c>
      <c r="L55" s="2">
        <v>528.587517948303</v>
      </c>
      <c r="M55" s="2">
        <v>399.56147517871301</v>
      </c>
      <c r="N55" s="2" t="s">
        <v>27</v>
      </c>
      <c r="O55" s="2">
        <v>510.45384696685699</v>
      </c>
      <c r="P55" s="2">
        <v>416.83118652404403</v>
      </c>
      <c r="Q55" s="2">
        <v>103.618002408149</v>
      </c>
      <c r="S55" s="2">
        <f t="shared" si="1"/>
        <v>366.79029250496149</v>
      </c>
      <c r="T55" s="24">
        <f t="shared" si="5"/>
        <v>0.15387401228753878</v>
      </c>
      <c r="U55" s="2" cm="1">
        <f t="array" ref="U55">SUMPRODUCT(B$2:Q$2, B55:Q55, --ISNUMBER(B55:Q55)) /
 SUMPRODUCT(B$2:Q$2, --ISNUMBER(B55:Q55))</f>
        <v>362.26987009988937</v>
      </c>
      <c r="V55" s="2">
        <f t="shared" si="2"/>
        <v>0.17799565268424289</v>
      </c>
      <c r="W55" s="7">
        <v>14.8438469068433</v>
      </c>
      <c r="X55" s="2">
        <f t="shared" si="3"/>
        <v>0.148438469068433</v>
      </c>
      <c r="AA55" s="2" cm="1">
        <f t="array" ref="AA55">_xlfn.STDEV.S( _xlfn._xlws.FILTER(B55:Q55, ISNUMBER(B55:Q55)) )</f>
        <v>188.11749880641258</v>
      </c>
      <c r="AB55" s="2" cm="1">
        <f t="array" ref="AB55">_xlfn.STDEV.S(_xlfn._xlws.FILTER(B55:Q55, ISNUMBER(B55:Q55))) /
 AVERAGE(_xlfn._xlws.FILTER(B55:Q55, ISNUMBER(B55:Q55)))</f>
        <v>0.51287480244278261</v>
      </c>
      <c r="AE55" s="2">
        <f t="shared" si="4"/>
        <v>0.17799565268424289</v>
      </c>
    </row>
    <row r="56" spans="1:31" x14ac:dyDescent="0.3">
      <c r="A56" s="2">
        <v>1952</v>
      </c>
      <c r="B56">
        <v>501.166819164</v>
      </c>
      <c r="C56" s="2" t="s">
        <v>27</v>
      </c>
      <c r="D56">
        <v>336.27479666200003</v>
      </c>
      <c r="E56">
        <v>352.95338723100002</v>
      </c>
      <c r="F56">
        <v>388.265780957</v>
      </c>
      <c r="G56">
        <v>673.43988242800003</v>
      </c>
      <c r="H56">
        <v>1090.417454122</v>
      </c>
      <c r="I56" s="2">
        <v>219.22027863938899</v>
      </c>
      <c r="J56" s="2">
        <v>446.635223039999</v>
      </c>
      <c r="K56" s="2">
        <v>268.144238591999</v>
      </c>
      <c r="L56" s="2">
        <v>490.49784401328498</v>
      </c>
      <c r="M56" s="2">
        <v>536.43928580541001</v>
      </c>
      <c r="N56" s="2" t="s">
        <v>27</v>
      </c>
      <c r="O56" s="2">
        <v>638.18235582171405</v>
      </c>
      <c r="P56" s="2">
        <v>454.49189419146001</v>
      </c>
      <c r="Q56" s="2">
        <v>179.13842257729101</v>
      </c>
      <c r="S56" s="2">
        <f t="shared" si="1"/>
        <v>469.66197594603909</v>
      </c>
      <c r="T56" s="24">
        <f t="shared" si="5"/>
        <v>0.47749479655713378</v>
      </c>
      <c r="U56" s="2" cm="1">
        <f t="array" ref="U56">SUMPRODUCT(B$2:Q$2, B56:Q56, --ISNUMBER(B56:Q56)) /
 SUMPRODUCT(B$2:Q$2, --ISNUMBER(B56:Q56))</f>
        <v>417.86943885850008</v>
      </c>
      <c r="V56" s="2">
        <f t="shared" si="2"/>
        <v>0.35878918726856451</v>
      </c>
      <c r="W56" s="7">
        <v>47.015417404570499</v>
      </c>
      <c r="X56" s="2">
        <f t="shared" si="3"/>
        <v>0.47015417404570498</v>
      </c>
      <c r="AA56" s="2" cm="1">
        <f t="array" ref="AA56">_xlfn.STDEV.S( _xlfn._xlws.FILTER(B56:Q56, ISNUMBER(B56:Q56)) )</f>
        <v>229.99681097978245</v>
      </c>
      <c r="AB56" s="2" cm="1">
        <f t="array" ref="AB56">_xlfn.STDEV.S(_xlfn._xlws.FILTER(B56:Q56, ISNUMBER(B56:Q56))) /
 AVERAGE(_xlfn._xlws.FILTER(B56:Q56, ISNUMBER(B56:Q56)))</f>
        <v>0.48970711439115416</v>
      </c>
      <c r="AE56" s="2">
        <f t="shared" si="4"/>
        <v>0.35878918726856451</v>
      </c>
    </row>
    <row r="57" spans="1:31" x14ac:dyDescent="0.3">
      <c r="A57" s="2">
        <v>1953</v>
      </c>
      <c r="B57">
        <v>348.94817563300001</v>
      </c>
      <c r="C57" s="2" t="s">
        <v>27</v>
      </c>
      <c r="D57">
        <v>176.895356902</v>
      </c>
      <c r="E57">
        <v>192.443464014</v>
      </c>
      <c r="F57">
        <v>267.87713707900002</v>
      </c>
      <c r="G57">
        <v>524.04166729400004</v>
      </c>
      <c r="H57">
        <v>820.27314887099999</v>
      </c>
      <c r="I57" s="2">
        <v>142.069233226259</v>
      </c>
      <c r="J57" s="2">
        <v>360.73337856000001</v>
      </c>
      <c r="K57" s="2">
        <v>165.014053225411</v>
      </c>
      <c r="L57" s="2">
        <v>379.37756858685901</v>
      </c>
      <c r="M57" s="2">
        <v>363.78511337294901</v>
      </c>
      <c r="N57" s="2" t="s">
        <v>27</v>
      </c>
      <c r="O57" s="2">
        <v>407.10950092799999</v>
      </c>
      <c r="P57" s="2">
        <v>278.07072146696601</v>
      </c>
      <c r="Q57" s="2">
        <v>69.4188075631304</v>
      </c>
      <c r="S57" s="2">
        <f t="shared" si="1"/>
        <v>321.14695190875528</v>
      </c>
      <c r="T57" s="24">
        <f t="shared" si="5"/>
        <v>1.0286066738956023E-2</v>
      </c>
      <c r="U57" s="2" cm="1">
        <f t="array" ref="U57">SUMPRODUCT(B$2:Q$2, B57:Q57, --ISNUMBER(B57:Q57)) /
 SUMPRODUCT(B$2:Q$2, --ISNUMBER(B57:Q57))</f>
        <v>280.82544213697838</v>
      </c>
      <c r="V57" s="2">
        <f t="shared" si="2"/>
        <v>-8.683780434382872E-2</v>
      </c>
      <c r="W57" s="7">
        <v>0.58810132091019396</v>
      </c>
      <c r="X57" s="2">
        <f t="shared" si="3"/>
        <v>5.8810132091019398E-3</v>
      </c>
      <c r="AA57" s="2" cm="1">
        <f t="array" ref="AA57">_xlfn.STDEV.S( _xlfn._xlws.FILTER(B57:Q57, ISNUMBER(B57:Q57)) )</f>
        <v>189.55642794962949</v>
      </c>
      <c r="AB57" s="2" cm="1">
        <f t="array" ref="AB57">_xlfn.STDEV.S(_xlfn._xlws.FILTER(B57:Q57, ISNUMBER(B57:Q57))) /
 AVERAGE(_xlfn._xlws.FILTER(B57:Q57, ISNUMBER(B57:Q57)))</f>
        <v>0.59024825495926403</v>
      </c>
      <c r="AE57" s="2">
        <f t="shared" si="4"/>
        <v>-8.683780434382872E-2</v>
      </c>
    </row>
    <row r="58" spans="1:31" x14ac:dyDescent="0.3">
      <c r="A58" s="2">
        <v>1954</v>
      </c>
      <c r="B58">
        <v>195.610624126</v>
      </c>
      <c r="C58" s="2" t="s">
        <v>27</v>
      </c>
      <c r="D58">
        <v>52.026303327000001</v>
      </c>
      <c r="E58">
        <v>77.064874755999995</v>
      </c>
      <c r="F58">
        <v>158.113785076</v>
      </c>
      <c r="G58">
        <v>336.089694845</v>
      </c>
      <c r="H58">
        <v>617.19211073199995</v>
      </c>
      <c r="I58" s="2">
        <v>85.015558902229003</v>
      </c>
      <c r="J58" s="2">
        <v>328.74864923233997</v>
      </c>
      <c r="K58" s="2">
        <v>126.642457253647</v>
      </c>
      <c r="L58" s="2">
        <v>289.87456317920498</v>
      </c>
      <c r="M58" s="2">
        <v>224.86216424727201</v>
      </c>
      <c r="N58" s="2" t="s">
        <v>27</v>
      </c>
      <c r="O58" s="2">
        <v>297.724453302857</v>
      </c>
      <c r="P58" s="2">
        <v>182.32455737527999</v>
      </c>
      <c r="Q58" s="2">
        <v>38.220461854211102</v>
      </c>
      <c r="S58" s="2">
        <f t="shared" si="1"/>
        <v>214.96501844350294</v>
      </c>
      <c r="T58" s="24">
        <f t="shared" si="5"/>
        <v>-0.32374832867335412</v>
      </c>
      <c r="U58" s="2" cm="1">
        <f t="array" ref="U58">SUMPRODUCT(B$2:Q$2, B58:Q58, --ISNUMBER(B58:Q58)) /
 SUMPRODUCT(B$2:Q$2, --ISNUMBER(B58:Q58))</f>
        <v>200.5168338411556</v>
      </c>
      <c r="V58" s="2">
        <f t="shared" si="2"/>
        <v>-0.34797790804474049</v>
      </c>
      <c r="W58" s="7">
        <v>-32.678447747111797</v>
      </c>
      <c r="X58" s="2">
        <f t="shared" si="3"/>
        <v>-0.32678447747111794</v>
      </c>
      <c r="AA58" s="2" cm="1">
        <f t="array" ref="AA58">_xlfn.STDEV.S( _xlfn._xlws.FILTER(B58:Q58, ISNUMBER(B58:Q58)) )</f>
        <v>153.95477801216592</v>
      </c>
      <c r="AB58" s="2" cm="1">
        <f t="array" ref="AB58">_xlfn.STDEV.S(_xlfn._xlws.FILTER(B58:Q58, ISNUMBER(B58:Q58))) /
 AVERAGE(_xlfn._xlws.FILTER(B58:Q58, ISNUMBER(B58:Q58)))</f>
        <v>0.71618526180169295</v>
      </c>
      <c r="AE58" s="2">
        <f t="shared" si="4"/>
        <v>-0.34797790804474049</v>
      </c>
    </row>
    <row r="59" spans="1:31" x14ac:dyDescent="0.3">
      <c r="A59" s="2">
        <v>1955</v>
      </c>
      <c r="B59">
        <v>201.494536807</v>
      </c>
      <c r="C59" s="2" t="s">
        <v>27</v>
      </c>
      <c r="D59">
        <v>50.876747158999997</v>
      </c>
      <c r="E59">
        <v>94.894873691000001</v>
      </c>
      <c r="F59">
        <v>163.761955022</v>
      </c>
      <c r="G59">
        <v>401.10225269</v>
      </c>
      <c r="H59">
        <v>688.54174360800005</v>
      </c>
      <c r="I59" s="2">
        <v>64.826674832610607</v>
      </c>
      <c r="J59" s="2">
        <v>295.78644806808501</v>
      </c>
      <c r="K59" s="2">
        <v>126.318646317176</v>
      </c>
      <c r="L59" s="2">
        <v>294.84719771263502</v>
      </c>
      <c r="M59" s="2">
        <v>268.15183327077602</v>
      </c>
      <c r="N59" s="2" t="s">
        <v>27</v>
      </c>
      <c r="O59" s="2">
        <v>335.78029077942801</v>
      </c>
      <c r="P59" s="2">
        <v>215.27080419235901</v>
      </c>
      <c r="Q59" s="2">
        <v>45.443166471950299</v>
      </c>
      <c r="S59" s="2">
        <f t="shared" si="1"/>
        <v>231.93551218728717</v>
      </c>
      <c r="T59" s="24">
        <f t="shared" si="5"/>
        <v>-0.27036138766979417</v>
      </c>
      <c r="U59" s="2" cm="1">
        <f t="array" ref="U59">SUMPRODUCT(B$2:Q$2, B59:Q59, --ISNUMBER(B59:Q59)) /
 SUMPRODUCT(B$2:Q$2, --ISNUMBER(B59:Q59))</f>
        <v>213.59488291806997</v>
      </c>
      <c r="V59" s="2">
        <f t="shared" si="2"/>
        <v>-0.305451917810034</v>
      </c>
      <c r="W59" s="7">
        <v>-27.351980732925298</v>
      </c>
      <c r="X59" s="2">
        <f t="shared" si="3"/>
        <v>-0.27351980732925296</v>
      </c>
      <c r="AA59" s="2" cm="1">
        <f t="array" ref="AA59">_xlfn.STDEV.S( _xlfn._xlws.FILTER(B59:Q59, ISNUMBER(B59:Q59)) )</f>
        <v>172.8741009342296</v>
      </c>
      <c r="AB59" s="2" cm="1">
        <f t="array" ref="AB59">_xlfn.STDEV.S(_xlfn._xlws.FILTER(B59:Q59, ISNUMBER(B59:Q59))) /
 AVERAGE(_xlfn._xlws.FILTER(B59:Q59, ISNUMBER(B59:Q59)))</f>
        <v>0.74535416894086637</v>
      </c>
      <c r="AE59" s="2">
        <f t="shared" si="4"/>
        <v>-0.305451917810034</v>
      </c>
    </row>
    <row r="60" spans="1:31" x14ac:dyDescent="0.3">
      <c r="A60" s="2">
        <v>1956</v>
      </c>
      <c r="B60">
        <v>230.96232912100001</v>
      </c>
      <c r="C60" s="2" t="s">
        <v>27</v>
      </c>
      <c r="D60">
        <v>68.363036585000003</v>
      </c>
      <c r="E60">
        <v>115.158958813</v>
      </c>
      <c r="F60">
        <v>189.15686148500001</v>
      </c>
      <c r="G60">
        <v>424.91305628100002</v>
      </c>
      <c r="H60">
        <v>745.81071168300002</v>
      </c>
      <c r="I60" s="2">
        <v>132.56682414705301</v>
      </c>
      <c r="J60" s="2">
        <v>518.62110752680803</v>
      </c>
      <c r="K60" s="2">
        <v>196.866255676235</v>
      </c>
      <c r="L60" s="2">
        <v>445.36875671566702</v>
      </c>
      <c r="M60" s="2">
        <v>374.50445998829201</v>
      </c>
      <c r="N60" s="2" t="s">
        <v>27</v>
      </c>
      <c r="O60" s="2">
        <v>494.35890146742798</v>
      </c>
      <c r="P60" s="2">
        <v>311.29186396044901</v>
      </c>
      <c r="Q60" s="2">
        <v>82.946372576198698</v>
      </c>
      <c r="S60" s="2">
        <f t="shared" si="1"/>
        <v>309.34924971615226</v>
      </c>
      <c r="T60" s="24">
        <f t="shared" si="5"/>
        <v>-2.6827952478355205E-2</v>
      </c>
      <c r="U60" s="2" cm="1">
        <f t="array" ref="U60">SUMPRODUCT(B$2:Q$2, B60:Q60, --ISNUMBER(B60:Q60)) /
 SUMPRODUCT(B$2:Q$2, --ISNUMBER(B60:Q60))</f>
        <v>315.20171395537562</v>
      </c>
      <c r="V60" s="2">
        <f t="shared" si="2"/>
        <v>2.4943776460553423E-2</v>
      </c>
      <c r="W60" s="7">
        <v>-3.18059025671044</v>
      </c>
      <c r="X60" s="2">
        <f t="shared" si="3"/>
        <v>-3.1805902567104402E-2</v>
      </c>
      <c r="AA60" s="2" cm="1">
        <f t="array" ref="AA60">_xlfn.STDEV.S( _xlfn._xlws.FILTER(B60:Q60, ISNUMBER(B60:Q60)) )</f>
        <v>199.26110056284608</v>
      </c>
      <c r="AB60" s="2" cm="1">
        <f t="array" ref="AB60">_xlfn.STDEV.S(_xlfn._xlws.FILTER(B60:Q60, ISNUMBER(B60:Q60))) /
 AVERAGE(_xlfn._xlws.FILTER(B60:Q60, ISNUMBER(B60:Q60)))</f>
        <v>0.64412989766641071</v>
      </c>
      <c r="AE60" s="2">
        <f t="shared" si="4"/>
        <v>2.4943776460553423E-2</v>
      </c>
    </row>
    <row r="61" spans="1:31" x14ac:dyDescent="0.3">
      <c r="A61" s="2">
        <v>1957</v>
      </c>
      <c r="B61">
        <v>285.26259086200002</v>
      </c>
      <c r="C61" s="2" t="s">
        <v>27</v>
      </c>
      <c r="D61">
        <v>126.196376066</v>
      </c>
      <c r="E61">
        <v>173.70953151699999</v>
      </c>
      <c r="F61">
        <v>244.60685179800001</v>
      </c>
      <c r="G61">
        <v>568.77857435999999</v>
      </c>
      <c r="H61">
        <v>748.463140082</v>
      </c>
      <c r="I61" s="2">
        <v>124.952570645496</v>
      </c>
      <c r="J61" s="2">
        <v>507.89783660936098</v>
      </c>
      <c r="K61" s="2">
        <v>185.266628351999</v>
      </c>
      <c r="L61" s="2">
        <v>413.22769620563099</v>
      </c>
      <c r="M61" s="2">
        <v>465.412764937649</v>
      </c>
      <c r="N61" s="2" t="s">
        <v>27</v>
      </c>
      <c r="O61" s="2">
        <v>503.28888751542797</v>
      </c>
      <c r="P61" s="2">
        <v>330.69262632269601</v>
      </c>
      <c r="Q61" s="2">
        <v>115.831484985242</v>
      </c>
      <c r="S61" s="2">
        <f t="shared" si="1"/>
        <v>342.39911144703586</v>
      </c>
      <c r="T61" s="24">
        <f t="shared" si="5"/>
        <v>7.7142565117737386E-2</v>
      </c>
      <c r="U61" s="2" cm="1">
        <f t="array" ref="U61">SUMPRODUCT(B$2:Q$2, B61:Q61, --ISNUMBER(B61:Q61)) /
 SUMPRODUCT(B$2:Q$2, --ISNUMBER(B61:Q61))</f>
        <v>333.67978887234079</v>
      </c>
      <c r="V61" s="2">
        <f t="shared" si="2"/>
        <v>8.5029071205481671E-2</v>
      </c>
      <c r="W61" s="7">
        <v>7.23304733683152</v>
      </c>
      <c r="X61" s="2">
        <f t="shared" si="3"/>
        <v>7.2330473368315204E-2</v>
      </c>
      <c r="AA61" s="2" cm="1">
        <f t="array" ref="AA61">_xlfn.STDEV.S( _xlfn._xlws.FILTER(B61:Q61, ISNUMBER(B61:Q61)) )</f>
        <v>196.31828625149939</v>
      </c>
      <c r="AB61" s="2" cm="1">
        <f t="array" ref="AB61">_xlfn.STDEV.S(_xlfn._xlws.FILTER(B61:Q61, ISNUMBER(B61:Q61))) /
 AVERAGE(_xlfn._xlws.FILTER(B61:Q61, ISNUMBER(B61:Q61)))</f>
        <v>0.57336096878822351</v>
      </c>
      <c r="AE61" s="2">
        <f t="shared" si="4"/>
        <v>8.5029071205481671E-2</v>
      </c>
    </row>
    <row r="62" spans="1:31" x14ac:dyDescent="0.3">
      <c r="A62" s="2">
        <v>1958</v>
      </c>
      <c r="B62">
        <v>322.81674403900001</v>
      </c>
      <c r="C62" s="2" t="s">
        <v>27</v>
      </c>
      <c r="D62">
        <v>195.49564917800001</v>
      </c>
      <c r="E62">
        <v>162.07093299600001</v>
      </c>
      <c r="F62">
        <v>248.38832780000001</v>
      </c>
      <c r="G62">
        <v>580.58679315200004</v>
      </c>
      <c r="H62">
        <v>808.69640413499997</v>
      </c>
      <c r="I62" s="2">
        <v>113.57134404787701</v>
      </c>
      <c r="J62" s="2">
        <v>409.82675695659498</v>
      </c>
      <c r="K62" s="2">
        <v>176.084789353411</v>
      </c>
      <c r="L62" s="2">
        <v>410.40133199480101</v>
      </c>
      <c r="M62" s="2">
        <v>320.21878105117497</v>
      </c>
      <c r="N62" s="2" t="s">
        <v>27</v>
      </c>
      <c r="O62" s="2">
        <v>374.48272215771402</v>
      </c>
      <c r="P62" s="2">
        <v>263.74865672629198</v>
      </c>
      <c r="Q62" s="2">
        <v>54.163066487254603</v>
      </c>
      <c r="S62" s="2">
        <f t="shared" si="1"/>
        <v>317.18230714822295</v>
      </c>
      <c r="T62" s="24">
        <f t="shared" si="5"/>
        <v>-2.1861841646535251E-3</v>
      </c>
      <c r="U62" s="2" cm="1">
        <f t="array" ref="U62">SUMPRODUCT(B$2:Q$2, B62:Q62, --ISNUMBER(B62:Q62)) /
 SUMPRODUCT(B$2:Q$2, --ISNUMBER(B62:Q62))</f>
        <v>279.49680342864878</v>
      </c>
      <c r="V62" s="2">
        <f t="shared" si="2"/>
        <v>-9.1158148793033744E-2</v>
      </c>
      <c r="W62" s="7">
        <v>-0.65962970612211702</v>
      </c>
      <c r="X62" s="2">
        <f t="shared" si="3"/>
        <v>-6.5962970612211706E-3</v>
      </c>
      <c r="AA62" s="2" cm="1">
        <f t="array" ref="AA62">_xlfn.STDEV.S( _xlfn._xlws.FILTER(B62:Q62, ISNUMBER(B62:Q62)) )</f>
        <v>197.78876038730201</v>
      </c>
      <c r="AB62" s="2" cm="1">
        <f t="array" ref="AB62">_xlfn.STDEV.S(_xlfn._xlws.FILTER(B62:Q62, ISNUMBER(B62:Q62))) /
 AVERAGE(_xlfn._xlws.FILTER(B62:Q62, ISNUMBER(B62:Q62)))</f>
        <v>0.62358068508175979</v>
      </c>
      <c r="AE62" s="2">
        <f t="shared" si="4"/>
        <v>-9.1158148793033744E-2</v>
      </c>
    </row>
    <row r="63" spans="1:31" x14ac:dyDescent="0.3">
      <c r="A63" s="2">
        <v>1959</v>
      </c>
      <c r="B63">
        <v>179.57722994599999</v>
      </c>
      <c r="C63" s="2" t="s">
        <v>27</v>
      </c>
      <c r="D63">
        <v>56.980060659000003</v>
      </c>
      <c r="E63">
        <v>68.629976556000003</v>
      </c>
      <c r="F63">
        <v>164.46579043599999</v>
      </c>
      <c r="G63">
        <v>384.59460915699998</v>
      </c>
      <c r="H63">
        <v>575.59940882700005</v>
      </c>
      <c r="I63" s="2">
        <v>79.9561984078167</v>
      </c>
      <c r="J63" s="2">
        <v>306.97821140425498</v>
      </c>
      <c r="K63" s="2">
        <v>124.98022777976399</v>
      </c>
      <c r="L63" s="2">
        <v>319.78102948505398</v>
      </c>
      <c r="M63" s="2">
        <v>310.47046836505501</v>
      </c>
      <c r="N63" s="2" t="s">
        <v>27</v>
      </c>
      <c r="O63" s="2">
        <v>320.62319769599998</v>
      </c>
      <c r="P63" s="2">
        <v>153.329935906516</v>
      </c>
      <c r="Q63" s="2">
        <v>41.351997419329102</v>
      </c>
      <c r="S63" s="2">
        <f t="shared" si="1"/>
        <v>220.52273871748494</v>
      </c>
      <c r="T63" s="24">
        <f t="shared" si="5"/>
        <v>-0.30626447175905297</v>
      </c>
      <c r="U63" s="2" cm="1">
        <f t="array" ref="U63">SUMPRODUCT(B$2:Q$2, B63:Q63, --ISNUMBER(B63:Q63)) /
 SUMPRODUCT(B$2:Q$2, --ISNUMBER(B63:Q63))</f>
        <v>211.99901486214904</v>
      </c>
      <c r="V63" s="2">
        <f t="shared" si="2"/>
        <v>-0.3106412139323258</v>
      </c>
      <c r="W63" s="7">
        <v>-30.915575494549401</v>
      </c>
      <c r="X63" s="2">
        <f t="shared" si="3"/>
        <v>-0.30915575494549402</v>
      </c>
      <c r="AA63" s="2" cm="1">
        <f t="array" ref="AA63">_xlfn.STDEV.S( _xlfn._xlws.FILTER(B63:Q63, ISNUMBER(B63:Q63)) )</f>
        <v>154.06725782698604</v>
      </c>
      <c r="AB63" s="2" cm="1">
        <f t="array" ref="AB63">_xlfn.STDEV.S(_xlfn._xlws.FILTER(B63:Q63, ISNUMBER(B63:Q63))) /
 AVERAGE(_xlfn._xlws.FILTER(B63:Q63, ISNUMBER(B63:Q63)))</f>
        <v>0.69864567582921211</v>
      </c>
      <c r="AE63" s="2">
        <f t="shared" si="4"/>
        <v>-0.3106412139323258</v>
      </c>
    </row>
    <row r="64" spans="1:31" x14ac:dyDescent="0.3">
      <c r="A64" s="2">
        <v>1960</v>
      </c>
      <c r="B64">
        <v>215.37371158900001</v>
      </c>
      <c r="C64" s="2" t="s">
        <v>27</v>
      </c>
      <c r="D64">
        <v>62.846352269</v>
      </c>
      <c r="E64">
        <v>85.693991620000006</v>
      </c>
      <c r="F64">
        <v>149.65464510800001</v>
      </c>
      <c r="G64">
        <v>406.73309494</v>
      </c>
      <c r="H64">
        <v>669.63801082199996</v>
      </c>
      <c r="I64" s="2">
        <v>50.113628699358699</v>
      </c>
      <c r="J64" s="2">
        <v>319.71426456510602</v>
      </c>
      <c r="K64" s="2">
        <v>121.54063605458801</v>
      </c>
      <c r="L64" s="2">
        <v>309.69002601357403</v>
      </c>
      <c r="M64" s="2">
        <v>286.04272655893499</v>
      </c>
      <c r="N64" s="2" t="s">
        <v>27</v>
      </c>
      <c r="O64" s="2">
        <v>330.77064433371402</v>
      </c>
      <c r="P64" s="2">
        <v>187.396382604943</v>
      </c>
      <c r="Q64" s="2">
        <v>48.352079224844701</v>
      </c>
      <c r="S64" s="2">
        <f t="shared" si="1"/>
        <v>231.68287102879023</v>
      </c>
      <c r="T64" s="24">
        <f t="shared" si="5"/>
        <v>-0.27115616352177474</v>
      </c>
      <c r="U64" s="2" cm="1">
        <f t="array" ref="U64">SUMPRODUCT(B$2:Q$2, B64:Q64, --ISNUMBER(B64:Q64)) /
 SUMPRODUCT(B$2:Q$2, --ISNUMBER(B64:Q64))</f>
        <v>215.92834046096624</v>
      </c>
      <c r="V64" s="2">
        <f t="shared" si="2"/>
        <v>-0.29786419642294448</v>
      </c>
      <c r="W64" s="7">
        <v>-27.4667197521307</v>
      </c>
      <c r="X64" s="2">
        <f t="shared" si="3"/>
        <v>-0.27466719752130703</v>
      </c>
      <c r="AA64" s="2" cm="1">
        <f t="array" ref="AA64">_xlfn.STDEV.S( _xlfn._xlws.FILTER(B64:Q64, ISNUMBER(B64:Q64)) )</f>
        <v>172.43474217669979</v>
      </c>
      <c r="AB64" s="2" cm="1">
        <f t="array" ref="AB64">_xlfn.STDEV.S(_xlfn._xlws.FILTER(B64:Q64, ISNUMBER(B64:Q64))) /
 AVERAGE(_xlfn._xlws.FILTER(B64:Q64, ISNUMBER(B64:Q64)))</f>
        <v>0.74427056869159769</v>
      </c>
      <c r="AE64" s="2">
        <f t="shared" si="4"/>
        <v>-0.29786419642294448</v>
      </c>
    </row>
    <row r="65" spans="1:31" x14ac:dyDescent="0.3">
      <c r="A65" s="2">
        <v>1961</v>
      </c>
      <c r="B65">
        <v>138.23443716099999</v>
      </c>
      <c r="C65" s="2" t="s">
        <v>27</v>
      </c>
      <c r="D65">
        <v>7.3417527329999999</v>
      </c>
      <c r="E65">
        <v>38.872773826</v>
      </c>
      <c r="F65">
        <v>99.660472182000007</v>
      </c>
      <c r="G65">
        <v>238.89704669599999</v>
      </c>
      <c r="H65">
        <v>454.18346333199997</v>
      </c>
      <c r="I65" s="2">
        <v>26.090537507175501</v>
      </c>
      <c r="J65" s="2">
        <v>213.11777966297799</v>
      </c>
      <c r="K65" s="2">
        <v>79.722252559058802</v>
      </c>
      <c r="L65" s="2">
        <v>212.361524697184</v>
      </c>
      <c r="M65" s="2">
        <v>216.90945061463401</v>
      </c>
      <c r="N65" s="2">
        <v>131.44623383850899</v>
      </c>
      <c r="O65" s="2">
        <v>196.640273334857</v>
      </c>
      <c r="P65" s="2">
        <v>99.429766155505604</v>
      </c>
      <c r="Q65" s="2">
        <v>23.089328768794999</v>
      </c>
      <c r="S65" s="2">
        <f t="shared" si="1"/>
        <v>145.06647287124645</v>
      </c>
      <c r="T65" s="24">
        <f t="shared" si="5"/>
        <v>-0.54363995852457758</v>
      </c>
      <c r="U65" s="2" cm="1">
        <f t="array" ref="U65">SUMPRODUCT(B$2:Q$2, B65:Q65, --ISNUMBER(B65:Q65)) /
 SUMPRODUCT(B$2:Q$2, --ISNUMBER(B65:Q65))</f>
        <v>138.90765706332098</v>
      </c>
      <c r="V65" s="2">
        <f t="shared" si="2"/>
        <v>-0.54831293008157966</v>
      </c>
      <c r="W65" s="7">
        <v>-54.573829089085301</v>
      </c>
      <c r="X65" s="2">
        <f t="shared" si="3"/>
        <v>-0.54573829089085302</v>
      </c>
      <c r="AA65" s="2" cm="1">
        <f t="array" ref="AA65">_xlfn.STDEV.S( _xlfn._xlws.FILTER(B65:Q65, ISNUMBER(B65:Q65)) )</f>
        <v>116.27053762071479</v>
      </c>
      <c r="AB65" s="2" cm="1">
        <f t="array" ref="AB65">_xlfn.STDEV.S(_xlfn._xlws.FILTER(B65:Q65, ISNUMBER(B65:Q65))) /
 AVERAGE(_xlfn._xlws.FILTER(B65:Q65, ISNUMBER(B65:Q65)))</f>
        <v>0.80149834292800759</v>
      </c>
      <c r="AE65" s="2">
        <f t="shared" si="4"/>
        <v>-0.54831293008157966</v>
      </c>
    </row>
    <row r="66" spans="1:31" x14ac:dyDescent="0.3">
      <c r="A66" s="2">
        <v>1962</v>
      </c>
      <c r="B66">
        <v>286.093197831</v>
      </c>
      <c r="C66" s="2" t="s">
        <v>27</v>
      </c>
      <c r="D66">
        <v>78.829922943</v>
      </c>
      <c r="E66">
        <v>132.16289314400001</v>
      </c>
      <c r="F66">
        <v>154.90499502399999</v>
      </c>
      <c r="G66">
        <v>508.45966805299997</v>
      </c>
      <c r="H66">
        <v>861.300137533</v>
      </c>
      <c r="I66" s="2">
        <v>77.472274650870204</v>
      </c>
      <c r="J66" s="2">
        <v>478.72984565106299</v>
      </c>
      <c r="K66" s="2">
        <v>153.605114563764</v>
      </c>
      <c r="L66" s="2">
        <v>380.49044949487302</v>
      </c>
      <c r="M66" s="2">
        <v>444.717265272904</v>
      </c>
      <c r="N66" s="2">
        <v>319.72586820372601</v>
      </c>
      <c r="O66" s="2">
        <v>494.271523913142</v>
      </c>
      <c r="P66" s="2">
        <v>289.98744903910102</v>
      </c>
      <c r="Q66" s="2">
        <v>75.898802969440993</v>
      </c>
      <c r="S66" s="2">
        <f t="shared" si="1"/>
        <v>315.7766272191256</v>
      </c>
      <c r="T66" s="24">
        <f t="shared" si="5"/>
        <v>-6.6082683171605804E-3</v>
      </c>
      <c r="U66" s="2" cm="1">
        <f t="array" ref="U66">SUMPRODUCT(B$2:Q$2, B66:Q66, --ISNUMBER(B66:Q66)) /
 SUMPRODUCT(B$2:Q$2, --ISNUMBER(B66:Q66))</f>
        <v>304.29785645751446</v>
      </c>
      <c r="V66" s="2">
        <f t="shared" si="2"/>
        <v>-1.0512378715772029E-2</v>
      </c>
      <c r="W66" s="7">
        <v>-1.1442673233913101</v>
      </c>
      <c r="X66" s="2">
        <f t="shared" si="3"/>
        <v>-1.1442673233913101E-2</v>
      </c>
      <c r="AA66" s="2" cm="1">
        <f t="array" ref="AA66">_xlfn.STDEV.S( _xlfn._xlws.FILTER(B66:Q66, ISNUMBER(B66:Q66)) )</f>
        <v>219.06938656091552</v>
      </c>
      <c r="AB66" s="2" cm="1">
        <f t="array" ref="AB66">_xlfn.STDEV.S(_xlfn._xlws.FILTER(B66:Q66, ISNUMBER(B66:Q66))) /
 AVERAGE(_xlfn._xlws.FILTER(B66:Q66, ISNUMBER(B66:Q66)))</f>
        <v>0.69374794610399582</v>
      </c>
      <c r="AE66" s="2">
        <f t="shared" si="4"/>
        <v>-1.0512378715772029E-2</v>
      </c>
    </row>
    <row r="67" spans="1:31" x14ac:dyDescent="0.3">
      <c r="A67" s="2">
        <v>1963</v>
      </c>
      <c r="B67">
        <v>202.968194375</v>
      </c>
      <c r="C67" s="2" t="s">
        <v>27</v>
      </c>
      <c r="D67">
        <v>56.565272309000001</v>
      </c>
      <c r="E67">
        <v>86.853858192999994</v>
      </c>
      <c r="F67">
        <v>130.82595477000001</v>
      </c>
      <c r="G67">
        <v>389.544208024</v>
      </c>
      <c r="H67">
        <v>709.203400934</v>
      </c>
      <c r="I67" s="2">
        <v>54.0374811905954</v>
      </c>
      <c r="J67" s="2">
        <v>352.06337688510598</v>
      </c>
      <c r="K67" s="2">
        <v>116.377650567529</v>
      </c>
      <c r="L67" s="2">
        <v>324.899398423104</v>
      </c>
      <c r="M67" s="2">
        <v>279.923585373658</v>
      </c>
      <c r="N67" s="2">
        <v>210.45073900919201</v>
      </c>
      <c r="O67" s="2">
        <v>357.05381266285701</v>
      </c>
      <c r="P67" s="2">
        <v>216.88581629123499</v>
      </c>
      <c r="Q67" s="2">
        <v>49.150254188124201</v>
      </c>
      <c r="S67" s="2">
        <f t="shared" si="1"/>
        <v>235.78686687976005</v>
      </c>
      <c r="T67" s="24">
        <f t="shared" si="5"/>
        <v>-0.25824553241801973</v>
      </c>
      <c r="U67" s="2" cm="1">
        <f t="array" ref="U67">SUMPRODUCT(B$2:Q$2, B67:Q67, --ISNUMBER(B67:Q67)) /
 SUMPRODUCT(B$2:Q$2, --ISNUMBER(B67:Q67))</f>
        <v>224.37105467890996</v>
      </c>
      <c r="V67" s="2">
        <f t="shared" si="2"/>
        <v>-0.27041095930209075</v>
      </c>
      <c r="W67" s="7">
        <v>-26.190688695448301</v>
      </c>
      <c r="X67" s="2">
        <f t="shared" si="3"/>
        <v>-0.261906886954483</v>
      </c>
      <c r="AA67" s="2" cm="1">
        <f t="array" ref="AA67">_xlfn.STDEV.S( _xlfn._xlws.FILTER(B67:Q67, ISNUMBER(B67:Q67)) )</f>
        <v>176.35163747976404</v>
      </c>
      <c r="AB67" s="2" cm="1">
        <f t="array" ref="AB67">_xlfn.STDEV.S(_xlfn._xlws.FILTER(B67:Q67, ISNUMBER(B67:Q67))) /
 AVERAGE(_xlfn._xlws.FILTER(B67:Q67, ISNUMBER(B67:Q67)))</f>
        <v>0.74792815992459361</v>
      </c>
      <c r="AE67" s="2">
        <f t="shared" si="4"/>
        <v>-0.27041095930209075</v>
      </c>
    </row>
    <row r="68" spans="1:31" x14ac:dyDescent="0.3">
      <c r="A68" s="2">
        <v>1964</v>
      </c>
      <c r="B68">
        <v>313.031657897</v>
      </c>
      <c r="C68" s="2">
        <v>164.63987169882299</v>
      </c>
      <c r="D68">
        <v>154.35457576600001</v>
      </c>
      <c r="E68">
        <v>165.82280186099999</v>
      </c>
      <c r="F68">
        <v>211.491613976</v>
      </c>
      <c r="G68">
        <v>481.60443777</v>
      </c>
      <c r="H68">
        <v>808.98720422999997</v>
      </c>
      <c r="I68" s="2">
        <v>53.697575834381603</v>
      </c>
      <c r="J68" s="2">
        <v>435.99870997787201</v>
      </c>
      <c r="K68" s="2">
        <v>133.777091553882</v>
      </c>
      <c r="L68" s="2">
        <v>354.45256920259902</v>
      </c>
      <c r="M68" s="2">
        <v>370.85901417578702</v>
      </c>
      <c r="N68" s="2">
        <v>254.10912395925399</v>
      </c>
      <c r="O68" s="2">
        <v>450.57109642971398</v>
      </c>
      <c r="P68" s="2">
        <v>275.84406648808903</v>
      </c>
      <c r="Q68" s="2">
        <v>89.771699273142801</v>
      </c>
      <c r="S68" s="2">
        <f t="shared" si="1"/>
        <v>294.93831938084651</v>
      </c>
      <c r="T68" s="24">
        <f t="shared" si="5"/>
        <v>-7.2162843686171249E-2</v>
      </c>
      <c r="U68" s="2" cm="1">
        <f t="array" ref="U68">SUMPRODUCT(B$2:Q$2, B68:Q68, --ISNUMBER(B68:Q68)) /
 SUMPRODUCT(B$2:Q$2, --ISNUMBER(B68:Q68))</f>
        <v>280.07213819283282</v>
      </c>
      <c r="V68" s="2">
        <f t="shared" si="2"/>
        <v>-8.9287328426824297E-2</v>
      </c>
      <c r="W68" s="7">
        <v>-7.6998591391209699</v>
      </c>
      <c r="X68" s="2">
        <f t="shared" si="3"/>
        <v>-7.6998591391209695E-2</v>
      </c>
      <c r="AA68" s="2" cm="1">
        <f t="array" ref="AA68">_xlfn.STDEV.S( _xlfn._xlws.FILTER(B68:Q68, ISNUMBER(B68:Q68)) )</f>
        <v>190.00245523498469</v>
      </c>
      <c r="AB68" s="2" cm="1">
        <f t="array" ref="AB68">_xlfn.STDEV.S(_xlfn._xlws.FILTER(B68:Q68, ISNUMBER(B68:Q68))) /
 AVERAGE(_xlfn._xlws.FILTER(B68:Q68, ISNUMBER(B68:Q68)))</f>
        <v>0.64421081544727754</v>
      </c>
      <c r="AE68" s="2">
        <f t="shared" si="4"/>
        <v>-8.9287328426824297E-2</v>
      </c>
    </row>
    <row r="69" spans="1:31" x14ac:dyDescent="0.3">
      <c r="A69" s="2">
        <v>1965</v>
      </c>
      <c r="B69">
        <v>377.72254505900003</v>
      </c>
      <c r="C69" s="2">
        <v>239.620092988235</v>
      </c>
      <c r="D69">
        <v>231.67703963</v>
      </c>
      <c r="E69">
        <v>225.78917413100001</v>
      </c>
      <c r="F69">
        <v>294.41741547700002</v>
      </c>
      <c r="G69">
        <v>569.45789334899996</v>
      </c>
      <c r="H69">
        <v>1031.2420531329999</v>
      </c>
      <c r="I69" s="2">
        <v>148.53864066540399</v>
      </c>
      <c r="J69" s="2">
        <v>555.39487046808495</v>
      </c>
      <c r="K69" s="2">
        <v>206.04089887623499</v>
      </c>
      <c r="L69" s="2">
        <v>512.51257149920502</v>
      </c>
      <c r="M69" s="2">
        <v>565.61912661711699</v>
      </c>
      <c r="N69" s="2">
        <v>313.67782183751501</v>
      </c>
      <c r="O69" s="2">
        <v>610.03513300114196</v>
      </c>
      <c r="P69" s="2">
        <v>388.894913409438</v>
      </c>
      <c r="Q69" s="2">
        <v>146.99791889172599</v>
      </c>
      <c r="S69" s="2">
        <f t="shared" ref="S69:S116" si="6">AVERAGEIF(B69:Q69, "&lt;&gt;NA")</f>
        <v>401.10238181456884</v>
      </c>
      <c r="T69" s="24">
        <f t="shared" si="5"/>
        <v>0.26181533181171746</v>
      </c>
      <c r="U69" s="2" cm="1">
        <f t="array" ref="U69">SUMPRODUCT(B$2:Q$2, B69:Q69, --ISNUMBER(B69:Q69)) /
 SUMPRODUCT(B$2:Q$2, --ISNUMBER(B69:Q69))</f>
        <v>393.20880534429546</v>
      </c>
      <c r="V69" s="2">
        <f t="shared" si="2"/>
        <v>0.27860002037990678</v>
      </c>
      <c r="W69" s="7">
        <v>25.5777260297887</v>
      </c>
      <c r="X69" s="2">
        <f t="shared" si="3"/>
        <v>0.255777260297887</v>
      </c>
      <c r="AA69" s="2" cm="1">
        <f t="array" ref="AA69">_xlfn.STDEV.S( _xlfn._xlws.FILTER(B69:Q69, ISNUMBER(B69:Q69)) )</f>
        <v>231.51669704907977</v>
      </c>
      <c r="AB69" s="2" cm="1">
        <f t="array" ref="AB69">_xlfn.STDEV.S(_xlfn._xlws.FILTER(B69:Q69, ISNUMBER(B69:Q69))) /
 AVERAGE(_xlfn._xlws.FILTER(B69:Q69, ISNUMBER(B69:Q69)))</f>
        <v>0.57720100290032883</v>
      </c>
      <c r="AE69" s="2">
        <f t="shared" si="4"/>
        <v>0.27860002037990678</v>
      </c>
    </row>
    <row r="70" spans="1:31" x14ac:dyDescent="0.3">
      <c r="A70" s="2">
        <v>1966</v>
      </c>
      <c r="B70">
        <v>260.69805913699997</v>
      </c>
      <c r="C70" s="2">
        <v>115.486025706096</v>
      </c>
      <c r="D70">
        <v>102.20383599199999</v>
      </c>
      <c r="E70">
        <v>132.086839301</v>
      </c>
      <c r="F70">
        <v>230.10609353699999</v>
      </c>
      <c r="G70">
        <v>379.97408548499999</v>
      </c>
      <c r="H70">
        <v>620.12256058000003</v>
      </c>
      <c r="I70" s="2">
        <v>107.144891681221</v>
      </c>
      <c r="J70" s="2">
        <v>306.301500132765</v>
      </c>
      <c r="K70" s="2">
        <v>149.32721230305799</v>
      </c>
      <c r="L70" s="2">
        <v>341.76042741833902</v>
      </c>
      <c r="M70" s="2">
        <v>317.69626274341402</v>
      </c>
      <c r="N70" s="2">
        <v>256.93559788919202</v>
      </c>
      <c r="O70" s="2">
        <v>393.07666570971401</v>
      </c>
      <c r="P70" s="2">
        <v>224.32174433797701</v>
      </c>
      <c r="Q70" s="2">
        <v>79.997949972670796</v>
      </c>
      <c r="S70" s="2">
        <f t="shared" si="6"/>
        <v>251.07748449540296</v>
      </c>
      <c r="T70" s="24">
        <f t="shared" ref="T70:T101" si="7">((S70-$V$1)/$V$1)</f>
        <v>-0.21014326074113845</v>
      </c>
      <c r="U70" s="2" cm="1">
        <f t="array" ref="U70">SUMPRODUCT(B$2:Q$2, B70:Q70, --ISNUMBER(B70:Q70)) /
 SUMPRODUCT(B$2:Q$2, --ISNUMBER(B70:Q70))</f>
        <v>244.82056642751579</v>
      </c>
      <c r="V70" s="2">
        <f t="shared" si="2"/>
        <v>-0.20391512863107528</v>
      </c>
      <c r="W70" s="7">
        <v>-21.409237522378401</v>
      </c>
      <c r="X70" s="2">
        <f t="shared" si="3"/>
        <v>-0.21409237522378402</v>
      </c>
      <c r="AA70" s="2" cm="1">
        <f t="array" ref="AA70">_xlfn.STDEV.S( _xlfn._xlws.FILTER(B70:Q70, ISNUMBER(B70:Q70)) )</f>
        <v>142.59760580649134</v>
      </c>
      <c r="AB70" s="2" cm="1">
        <f t="array" ref="AB70">_xlfn.STDEV.S(_xlfn._xlws.FILTER(B70:Q70, ISNUMBER(B70:Q70))) /
 AVERAGE(_xlfn._xlws.FILTER(B70:Q70, ISNUMBER(B70:Q70)))</f>
        <v>0.56794262573194687</v>
      </c>
      <c r="AE70" s="2">
        <f t="shared" si="4"/>
        <v>-0.20391512863107528</v>
      </c>
    </row>
    <row r="71" spans="1:31" x14ac:dyDescent="0.3">
      <c r="A71" s="2">
        <v>1967</v>
      </c>
      <c r="B71">
        <v>278.51055988000002</v>
      </c>
      <c r="C71" s="2">
        <v>112.607706270802</v>
      </c>
      <c r="D71">
        <v>114.74584892999999</v>
      </c>
      <c r="E71">
        <v>164.098430597</v>
      </c>
      <c r="F71">
        <v>237.27559715699999</v>
      </c>
      <c r="G71">
        <v>516.01877550100005</v>
      </c>
      <c r="H71">
        <v>939.98470193200001</v>
      </c>
      <c r="I71" s="2">
        <v>99.915366220213699</v>
      </c>
      <c r="J71" s="2">
        <v>458.47477836255302</v>
      </c>
      <c r="K71" s="2">
        <v>183.24101104941099</v>
      </c>
      <c r="L71" s="2">
        <v>422.06008436447598</v>
      </c>
      <c r="M71" s="2">
        <v>481.88779311113001</v>
      </c>
      <c r="N71" s="2">
        <v>355.86218543701801</v>
      </c>
      <c r="O71" s="2">
        <v>557.87655826285697</v>
      </c>
      <c r="P71" s="2">
        <v>291.03205260943798</v>
      </c>
      <c r="Q71" s="2">
        <v>122.932620831801</v>
      </c>
      <c r="S71" s="2">
        <f t="shared" si="6"/>
        <v>333.53275440729374</v>
      </c>
      <c r="T71" s="24">
        <f t="shared" si="7"/>
        <v>4.9250172159483935E-2</v>
      </c>
      <c r="U71" s="2" cm="1">
        <f t="array" ref="U71">SUMPRODUCT(B$2:Q$2, B71:Q71, --ISNUMBER(B71:Q71)) /
 SUMPRODUCT(B$2:Q$2, --ISNUMBER(B71:Q71))</f>
        <v>334.54441283624379</v>
      </c>
      <c r="V71" s="2">
        <f t="shared" ref="V71:V129" si="8">((U71-$V$2)/$V$2)</f>
        <v>8.7840575431332724E-2</v>
      </c>
      <c r="W71" s="7">
        <v>4.4030677015084398</v>
      </c>
      <c r="X71" s="2">
        <f t="shared" ref="X71:X127" si="9">W71/100</f>
        <v>4.4030677015084396E-2</v>
      </c>
      <c r="AA71" s="2" cm="1">
        <f t="array" ref="AA71">_xlfn.STDEV.S( _xlfn._xlws.FILTER(B71:Q71, ISNUMBER(B71:Q71)) )</f>
        <v>224.85114345244011</v>
      </c>
      <c r="AB71" s="2" cm="1">
        <f t="array" ref="AB71">_xlfn.STDEV.S(_xlfn._xlws.FILTER(B71:Q71, ISNUMBER(B71:Q71))) /
 AVERAGE(_xlfn._xlws.FILTER(B71:Q71, ISNUMBER(B71:Q71)))</f>
        <v>0.67415011113979828</v>
      </c>
      <c r="AE71" s="2">
        <f t="shared" ref="AE71:AE128" si="10">V71</f>
        <v>8.7840575431332724E-2</v>
      </c>
    </row>
    <row r="72" spans="1:31" x14ac:dyDescent="0.3">
      <c r="A72" s="2">
        <v>1968</v>
      </c>
      <c r="B72">
        <v>338.09455378899997</v>
      </c>
      <c r="C72" s="2">
        <v>166.759361464812</v>
      </c>
      <c r="D72">
        <v>141.52576641600001</v>
      </c>
      <c r="E72">
        <v>193.67412055899999</v>
      </c>
      <c r="F72">
        <v>277.50350723399998</v>
      </c>
      <c r="G72">
        <v>523.36619715899997</v>
      </c>
      <c r="H72">
        <v>903.28655927499995</v>
      </c>
      <c r="I72" s="2">
        <v>73.649273199389299</v>
      </c>
      <c r="J72" s="2">
        <v>351.02228262127602</v>
      </c>
      <c r="K72" s="2">
        <v>154.85718351811701</v>
      </c>
      <c r="L72" s="2">
        <v>382.92377243263502</v>
      </c>
      <c r="M72" s="2">
        <v>463.91552826465602</v>
      </c>
      <c r="N72" s="2">
        <v>279.80572296745299</v>
      </c>
      <c r="O72" s="2">
        <v>516.70425468342796</v>
      </c>
      <c r="P72" s="2">
        <v>247.51606703460601</v>
      </c>
      <c r="Q72" s="2">
        <v>116.386902308571</v>
      </c>
      <c r="S72" s="2">
        <f t="shared" si="6"/>
        <v>320.68694080793398</v>
      </c>
      <c r="T72" s="24">
        <f t="shared" si="7"/>
        <v>8.8389323260562973E-3</v>
      </c>
      <c r="U72" s="2" cm="1">
        <f t="array" ref="U72">SUMPRODUCT(B$2:Q$2, B72:Q72, --ISNUMBER(B72:Q72)) /
 SUMPRODUCT(B$2:Q$2, --ISNUMBER(B72:Q72))</f>
        <v>302.69956526445185</v>
      </c>
      <c r="V72" s="2">
        <f t="shared" si="8"/>
        <v>-1.5709554171274637E-2</v>
      </c>
      <c r="W72" s="7">
        <v>0.34791655672146599</v>
      </c>
      <c r="X72" s="2">
        <f t="shared" si="9"/>
        <v>3.47916556721466E-3</v>
      </c>
      <c r="AA72" s="2" cm="1">
        <f t="array" ref="AA72">_xlfn.STDEV.S( _xlfn._xlws.FILTER(B72:Q72, ISNUMBER(B72:Q72)) )</f>
        <v>209.0638592690205</v>
      </c>
      <c r="AB72" s="2" cm="1">
        <f t="array" ref="AB72">_xlfn.STDEV.S(_xlfn._xlws.FILTER(B72:Q72, ISNUMBER(B72:Q72))) /
 AVERAGE(_xlfn._xlws.FILTER(B72:Q72, ISNUMBER(B72:Q72)))</f>
        <v>0.651925079151362</v>
      </c>
      <c r="AE72" s="2">
        <f t="shared" si="10"/>
        <v>-1.5709554171274637E-2</v>
      </c>
    </row>
    <row r="73" spans="1:31" x14ac:dyDescent="0.3">
      <c r="A73" s="2">
        <v>1969</v>
      </c>
      <c r="B73">
        <v>411.46662362799998</v>
      </c>
      <c r="C73" s="2">
        <v>189.13175343914401</v>
      </c>
      <c r="D73">
        <v>191.73885234700001</v>
      </c>
      <c r="E73">
        <v>227.33203264100001</v>
      </c>
      <c r="F73">
        <v>295.90814765300001</v>
      </c>
      <c r="G73">
        <v>596.34911021100004</v>
      </c>
      <c r="H73">
        <v>1113.229029031</v>
      </c>
      <c r="I73" s="2">
        <v>93.714894887083901</v>
      </c>
      <c r="J73" s="2">
        <v>410.37622337361699</v>
      </c>
      <c r="K73" s="2">
        <v>172.94742116894099</v>
      </c>
      <c r="L73" s="2">
        <v>401.29072360895299</v>
      </c>
      <c r="M73" s="2">
        <v>388.49494324789299</v>
      </c>
      <c r="N73" s="2">
        <v>383.32153162732902</v>
      </c>
      <c r="O73" s="2">
        <v>538.47291604114196</v>
      </c>
      <c r="P73" s="2">
        <v>352.40251236674101</v>
      </c>
      <c r="Q73" s="2">
        <v>113.264104498881</v>
      </c>
      <c r="S73" s="2">
        <f t="shared" si="6"/>
        <v>367.46505123567033</v>
      </c>
      <c r="T73" s="24">
        <f t="shared" si="7"/>
        <v>0.15599671449596358</v>
      </c>
      <c r="U73" s="2" cm="1">
        <f t="array" ref="U73">SUMPRODUCT(B$2:Q$2, B73:Q73, --ISNUMBER(B73:Q73)) /
 SUMPRODUCT(B$2:Q$2, --ISNUMBER(B73:Q73))</f>
        <v>328.90035093792306</v>
      </c>
      <c r="V73" s="2">
        <f t="shared" si="8"/>
        <v>6.9487737040799885E-2</v>
      </c>
      <c r="W73" s="7">
        <v>15.0195267798288</v>
      </c>
      <c r="X73" s="2">
        <f t="shared" si="9"/>
        <v>0.15019526779828798</v>
      </c>
      <c r="AA73" s="2" cm="1">
        <f t="array" ref="AA73">_xlfn.STDEV.S( _xlfn._xlws.FILTER(B73:Q73, ISNUMBER(B73:Q73)) )</f>
        <v>246.09920136657934</v>
      </c>
      <c r="AB73" s="2" cm="1">
        <f t="array" ref="AB73">_xlfn.STDEV.S(_xlfn._xlws.FILTER(B73:Q73, ISNUMBER(B73:Q73))) /
 AVERAGE(_xlfn._xlws.FILTER(B73:Q73, ISNUMBER(B73:Q73)))</f>
        <v>0.66972138041161877</v>
      </c>
      <c r="AE73" s="2">
        <f t="shared" si="10"/>
        <v>6.9487737040799885E-2</v>
      </c>
    </row>
    <row r="74" spans="1:31" x14ac:dyDescent="0.3">
      <c r="A74" s="2">
        <v>1970</v>
      </c>
      <c r="B74">
        <v>360.31730968800002</v>
      </c>
      <c r="C74" s="2">
        <v>175.31582014973199</v>
      </c>
      <c r="D74">
        <v>127.701465074</v>
      </c>
      <c r="E74">
        <v>180.19135235499999</v>
      </c>
      <c r="F74">
        <v>287.024957766</v>
      </c>
      <c r="G74">
        <v>516.01608131499995</v>
      </c>
      <c r="H74">
        <v>833.21824272699996</v>
      </c>
      <c r="I74" s="2">
        <v>86.504045544549598</v>
      </c>
      <c r="J74" s="2">
        <v>379.39788516765901</v>
      </c>
      <c r="K74" s="2">
        <v>146.20783361505801</v>
      </c>
      <c r="L74" s="2">
        <v>396.10169556563102</v>
      </c>
      <c r="M74" s="2">
        <v>371.021757292416</v>
      </c>
      <c r="N74" s="2">
        <v>272.16208647950299</v>
      </c>
      <c r="O74" s="2">
        <v>431.52278959542798</v>
      </c>
      <c r="P74" s="2">
        <v>256.18215323325802</v>
      </c>
      <c r="Q74" s="2">
        <v>97.6311203299379</v>
      </c>
      <c r="S74" s="2">
        <f t="shared" si="6"/>
        <v>307.28228724363578</v>
      </c>
      <c r="T74" s="24">
        <f t="shared" si="7"/>
        <v>-3.333034452674373E-2</v>
      </c>
      <c r="U74" s="2" cm="1">
        <f t="array" ref="U74">SUMPRODUCT(B$2:Q$2, B74:Q74, --ISNUMBER(B74:Q74)) /
 SUMPRODUCT(B$2:Q$2, --ISNUMBER(B74:Q74))</f>
        <v>284.31959026327075</v>
      </c>
      <c r="V74" s="2">
        <f t="shared" si="8"/>
        <v>-7.5475856684553963E-2</v>
      </c>
      <c r="W74" s="7">
        <v>0.80966467447885604</v>
      </c>
      <c r="X74" s="2">
        <f t="shared" si="9"/>
        <v>8.0966467447885597E-3</v>
      </c>
      <c r="AA74" s="2" cm="1">
        <f t="array" ref="AA74">_xlfn.STDEV.S( _xlfn._xlws.FILTER(B74:Q74, ISNUMBER(B74:Q74)) )</f>
        <v>190.48924199733474</v>
      </c>
      <c r="AB74" s="2" cm="1">
        <f t="array" ref="AB74">_xlfn.STDEV.S(_xlfn._xlws.FILTER(B74:Q74, ISNUMBER(B74:Q74))) /
 AVERAGE(_xlfn._xlws.FILTER(B74:Q74, ISNUMBER(B74:Q74)))</f>
        <v>0.61991611591429285</v>
      </c>
      <c r="AE74" s="2">
        <f t="shared" si="10"/>
        <v>-7.5475856684553963E-2</v>
      </c>
    </row>
    <row r="75" spans="1:31" x14ac:dyDescent="0.3">
      <c r="A75" s="2">
        <v>1971</v>
      </c>
      <c r="B75">
        <v>439.18746188400002</v>
      </c>
      <c r="C75" s="2">
        <v>279.13156887272697</v>
      </c>
      <c r="D75">
        <v>231.43409222599999</v>
      </c>
      <c r="E75">
        <v>266.35001664999999</v>
      </c>
      <c r="F75">
        <v>324.08779425099999</v>
      </c>
      <c r="G75">
        <v>601.18574583700001</v>
      </c>
      <c r="H75">
        <v>955.33701267000004</v>
      </c>
      <c r="I75" s="2" t="s">
        <v>27</v>
      </c>
      <c r="J75" s="2">
        <v>658.53839272850996</v>
      </c>
      <c r="K75" s="2">
        <v>292.91937313129398</v>
      </c>
      <c r="L75" s="2">
        <v>657.20033812332099</v>
      </c>
      <c r="M75" s="2">
        <v>468.58625571192903</v>
      </c>
      <c r="N75" s="2">
        <v>432.89119807602401</v>
      </c>
      <c r="O75" s="2">
        <v>533.96423424</v>
      </c>
      <c r="P75" s="2">
        <v>427.44903202516798</v>
      </c>
      <c r="Q75" s="2">
        <v>138.43643818136599</v>
      </c>
      <c r="S75" s="2">
        <f t="shared" si="6"/>
        <v>447.11326364055589</v>
      </c>
      <c r="T75" s="24">
        <f t="shared" si="7"/>
        <v>0.40655951372247867</v>
      </c>
      <c r="U75" s="2" cm="1">
        <f t="array" ref="U75">SUMPRODUCT(B$2:Q$2, B75:Q75, --ISNUMBER(B75:Q75)) /
 SUMPRODUCT(B$2:Q$2, --ISNUMBER(B75:Q75))</f>
        <v>435.22167671546788</v>
      </c>
      <c r="V75" s="2">
        <f t="shared" si="8"/>
        <v>0.41521358920465384</v>
      </c>
      <c r="W75" s="7">
        <v>39.938253674769001</v>
      </c>
      <c r="X75" s="2">
        <f t="shared" si="9"/>
        <v>0.39938253674769003</v>
      </c>
      <c r="AA75" s="2" cm="1">
        <f t="array" ref="AA75">_xlfn.STDEV.S( _xlfn._xlws.FILTER(B75:Q75, ISNUMBER(B75:Q75)) )</f>
        <v>210.63270870649131</v>
      </c>
      <c r="AB75" s="2" cm="1">
        <f t="array" ref="AB75">_xlfn.STDEV.S(_xlfn._xlws.FILTER(B75:Q75, ISNUMBER(B75:Q75))) /
 AVERAGE(_xlfn._xlws.FILTER(B75:Q75, ISNUMBER(B75:Q75)))</f>
        <v>0.47109474452053729</v>
      </c>
      <c r="AE75" s="2">
        <f t="shared" si="10"/>
        <v>0.41521358920465384</v>
      </c>
    </row>
    <row r="76" spans="1:31" x14ac:dyDescent="0.3">
      <c r="A76" s="2">
        <v>1972</v>
      </c>
      <c r="B76">
        <v>387.66839386100003</v>
      </c>
      <c r="C76" s="2">
        <v>240.73217095187101</v>
      </c>
      <c r="D76">
        <v>218.78304921099999</v>
      </c>
      <c r="E76">
        <v>291.06842503600001</v>
      </c>
      <c r="F76">
        <v>305.16642497100003</v>
      </c>
      <c r="G76">
        <v>575.85850214699997</v>
      </c>
      <c r="H76">
        <v>825.10899550600004</v>
      </c>
      <c r="I76" s="2" t="s">
        <v>27</v>
      </c>
      <c r="J76" s="2">
        <v>601.40545307234004</v>
      </c>
      <c r="K76" s="2">
        <v>311.11754776094102</v>
      </c>
      <c r="L76" s="2">
        <v>613.44027099032496</v>
      </c>
      <c r="M76" s="2">
        <v>425.62749769223899</v>
      </c>
      <c r="N76" s="2">
        <v>405.40145969291899</v>
      </c>
      <c r="O76" s="2">
        <v>500.98212008228501</v>
      </c>
      <c r="P76" s="2">
        <v>450.80141973573001</v>
      </c>
      <c r="Q76" s="2">
        <v>139.67871906186301</v>
      </c>
      <c r="S76" s="2">
        <f t="shared" si="6"/>
        <v>419.52269665150089</v>
      </c>
      <c r="T76" s="24">
        <f t="shared" si="7"/>
        <v>0.31976321926351792</v>
      </c>
      <c r="U76" s="2" cm="1">
        <f t="array" ref="U76">SUMPRODUCT(B$2:Q$2, B76:Q76, --ISNUMBER(B76:Q76)) /
 SUMPRODUCT(B$2:Q$2, --ISNUMBER(B76:Q76))</f>
        <v>416.49149351852975</v>
      </c>
      <c r="V76" s="2">
        <f t="shared" si="8"/>
        <v>0.35430851207558206</v>
      </c>
      <c r="W76" s="7">
        <v>31.205351896032202</v>
      </c>
      <c r="X76" s="2">
        <f t="shared" si="9"/>
        <v>0.31205351896032202</v>
      </c>
      <c r="AA76" s="2" cm="1">
        <f t="array" ref="AA76">_xlfn.STDEV.S( _xlfn._xlws.FILTER(B76:Q76, ISNUMBER(B76:Q76)) )</f>
        <v>181.34349930064036</v>
      </c>
      <c r="AB76" s="2" cm="1">
        <f t="array" ref="AB76">_xlfn.STDEV.S(_xlfn._xlws.FILTER(B76:Q76, ISNUMBER(B76:Q76))) /
 AVERAGE(_xlfn._xlws.FILTER(B76:Q76, ISNUMBER(B76:Q76)))</f>
        <v>0.4322614741659212</v>
      </c>
      <c r="AE76" s="2">
        <f t="shared" si="10"/>
        <v>0.35430851207558206</v>
      </c>
    </row>
    <row r="77" spans="1:31" x14ac:dyDescent="0.3">
      <c r="A77" s="2">
        <v>1973</v>
      </c>
      <c r="B77">
        <v>368.13037409600003</v>
      </c>
      <c r="C77" s="2">
        <v>205.18492592598901</v>
      </c>
      <c r="D77">
        <v>133.674416509</v>
      </c>
      <c r="E77">
        <v>205.41981161199999</v>
      </c>
      <c r="F77">
        <v>259.28684765200001</v>
      </c>
      <c r="G77">
        <v>537.364401746</v>
      </c>
      <c r="H77">
        <v>999.37146830699999</v>
      </c>
      <c r="I77" s="2" t="s">
        <v>27</v>
      </c>
      <c r="J77" s="2">
        <v>333.803740268936</v>
      </c>
      <c r="K77" s="2">
        <v>195.135666115764</v>
      </c>
      <c r="L77" s="2">
        <v>370.84106543133498</v>
      </c>
      <c r="M77" s="2">
        <v>380.01060210093101</v>
      </c>
      <c r="N77" s="2">
        <v>382.18182439751502</v>
      </c>
      <c r="O77" s="2">
        <v>452.17301825828503</v>
      </c>
      <c r="P77" s="2">
        <v>302.59828819415702</v>
      </c>
      <c r="Q77" s="2">
        <v>134.28638425520401</v>
      </c>
      <c r="S77" s="2">
        <f t="shared" si="6"/>
        <v>350.63085565800782</v>
      </c>
      <c r="T77" s="24">
        <f t="shared" si="7"/>
        <v>0.10303854959423617</v>
      </c>
      <c r="U77" s="2" cm="1">
        <f t="array" ref="U77">SUMPRODUCT(B$2:Q$2, B77:Q77, --ISNUMBER(B77:Q77)) /
 SUMPRODUCT(B$2:Q$2, --ISNUMBER(B77:Q77))</f>
        <v>311.51543996299279</v>
      </c>
      <c r="V77" s="2">
        <f t="shared" si="8"/>
        <v>1.2957091682068732E-2</v>
      </c>
      <c r="W77" s="7">
        <v>9.7420203546143203</v>
      </c>
      <c r="X77" s="2">
        <f t="shared" si="9"/>
        <v>9.7420203546143197E-2</v>
      </c>
      <c r="AA77" s="2" cm="1">
        <f t="array" ref="AA77">_xlfn.STDEV.S( _xlfn._xlws.FILTER(B77:Q77, ISNUMBER(B77:Q77)) )</f>
        <v>213.78334878974462</v>
      </c>
      <c r="AB77" s="2" cm="1">
        <f t="array" ref="AB77">_xlfn.STDEV.S(_xlfn._xlws.FILTER(B77:Q77, ISNUMBER(B77:Q77))) /
 AVERAGE(_xlfn._xlws.FILTER(B77:Q77, ISNUMBER(B77:Q77)))</f>
        <v>0.60971059831157837</v>
      </c>
      <c r="AE77" s="2">
        <f t="shared" si="10"/>
        <v>1.2957091682068732E-2</v>
      </c>
    </row>
    <row r="78" spans="1:31" x14ac:dyDescent="0.3">
      <c r="A78" s="2">
        <v>1974</v>
      </c>
      <c r="B78">
        <v>463.94490876899999</v>
      </c>
      <c r="C78" s="2">
        <v>313.69756863657699</v>
      </c>
      <c r="D78">
        <v>293.97231610199998</v>
      </c>
      <c r="E78">
        <v>271.37610513200002</v>
      </c>
      <c r="F78">
        <v>303.71591196899999</v>
      </c>
      <c r="G78">
        <v>596.10336223700006</v>
      </c>
      <c r="H78">
        <v>914.15529903699996</v>
      </c>
      <c r="I78" s="2" t="s">
        <v>27</v>
      </c>
      <c r="J78" s="2">
        <v>482.04399572425501</v>
      </c>
      <c r="K78" s="2">
        <v>229.93454808847</v>
      </c>
      <c r="L78" s="2">
        <v>503.81708535682299</v>
      </c>
      <c r="M78" s="2">
        <v>431.209586592638</v>
      </c>
      <c r="N78" s="2">
        <v>411.221564613167</v>
      </c>
      <c r="O78" s="2">
        <v>517.33337307428496</v>
      </c>
      <c r="P78" s="2">
        <v>379.64467389842599</v>
      </c>
      <c r="Q78" s="2">
        <v>157.02886212372599</v>
      </c>
      <c r="S78" s="2">
        <f t="shared" si="6"/>
        <v>417.9466107569578</v>
      </c>
      <c r="T78" s="24">
        <f t="shared" si="7"/>
        <v>0.31480506035907624</v>
      </c>
      <c r="U78" s="2" cm="1">
        <f t="array" ref="U78">SUMPRODUCT(B$2:Q$2, B78:Q78, --ISNUMBER(B78:Q78)) /
 SUMPRODUCT(B$2:Q$2, --ISNUMBER(B78:Q78))</f>
        <v>379.33487009001681</v>
      </c>
      <c r="V78" s="2">
        <f t="shared" si="8"/>
        <v>0.23348604109519153</v>
      </c>
      <c r="W78" s="7">
        <v>30.811941116671601</v>
      </c>
      <c r="X78" s="2">
        <f t="shared" si="9"/>
        <v>0.30811941116671604</v>
      </c>
      <c r="AA78" s="2" cm="1">
        <f t="array" ref="AA78">_xlfn.STDEV.S( _xlfn._xlws.FILTER(B78:Q78, ISNUMBER(B78:Q78)) )</f>
        <v>182.70243334811505</v>
      </c>
      <c r="AB78" s="2" cm="1">
        <f t="array" ref="AB78">_xlfn.STDEV.S(_xlfn._xlws.FILTER(B78:Q78, ISNUMBER(B78:Q78))) /
 AVERAGE(_xlfn._xlws.FILTER(B78:Q78, ISNUMBER(B78:Q78)))</f>
        <v>0.43714299541086421</v>
      </c>
      <c r="AE78" s="2">
        <f t="shared" si="10"/>
        <v>0.23348604109519153</v>
      </c>
    </row>
    <row r="79" spans="1:31" x14ac:dyDescent="0.3">
      <c r="A79" s="2">
        <v>1975</v>
      </c>
      <c r="B79">
        <v>513.09004844799995</v>
      </c>
      <c r="C79" s="2">
        <v>346.99449119486599</v>
      </c>
      <c r="D79">
        <v>343.29656996</v>
      </c>
      <c r="E79">
        <v>364.56838909499999</v>
      </c>
      <c r="F79">
        <v>342.86839645999999</v>
      </c>
      <c r="G79">
        <v>645.00085746900004</v>
      </c>
      <c r="H79">
        <v>1089.2110827930001</v>
      </c>
      <c r="I79" s="2" t="s">
        <v>27</v>
      </c>
      <c r="J79" s="2">
        <v>461.01389159489298</v>
      </c>
      <c r="K79" s="2">
        <v>211.59965328564701</v>
      </c>
      <c r="L79" s="2">
        <v>488.83293884534299</v>
      </c>
      <c r="M79" s="2">
        <v>468.68932635246102</v>
      </c>
      <c r="N79" s="2">
        <v>388.26026295652099</v>
      </c>
      <c r="O79" s="2">
        <v>574.95013237028502</v>
      </c>
      <c r="P79" s="2">
        <v>400.78415141393202</v>
      </c>
      <c r="Q79" s="2">
        <v>130.88625768626</v>
      </c>
      <c r="S79" s="2">
        <f t="shared" si="6"/>
        <v>451.33642999501382</v>
      </c>
      <c r="T79" s="24">
        <f t="shared" si="7"/>
        <v>0.41984503955440949</v>
      </c>
      <c r="U79" s="2" cm="1">
        <f t="array" ref="U79">SUMPRODUCT(B$2:Q$2, B79:Q79, --ISNUMBER(B79:Q79)) /
 SUMPRODUCT(B$2:Q$2, --ISNUMBER(B79:Q79))</f>
        <v>388.17110858969772</v>
      </c>
      <c r="V79" s="2">
        <f t="shared" si="8"/>
        <v>0.26221890407337722</v>
      </c>
      <c r="W79" s="7">
        <v>41.304310945881198</v>
      </c>
      <c r="X79" s="2">
        <f t="shared" si="9"/>
        <v>0.41304310945881201</v>
      </c>
      <c r="AA79" s="2" cm="1">
        <f t="array" ref="AA79">_xlfn.STDEV.S( _xlfn._xlws.FILTER(B79:Q79, ISNUMBER(B79:Q79)) )</f>
        <v>219.38788772663477</v>
      </c>
      <c r="AB79" s="2" cm="1">
        <f t="array" ref="AB79">_xlfn.STDEV.S(_xlfn._xlws.FILTER(B79:Q79, ISNUMBER(B79:Q79))) /
 AVERAGE(_xlfn._xlws.FILTER(B79:Q79, ISNUMBER(B79:Q79)))</f>
        <v>0.48608504243510431</v>
      </c>
      <c r="AE79" s="2">
        <f t="shared" si="10"/>
        <v>0.26221890407337722</v>
      </c>
    </row>
    <row r="80" spans="1:31" x14ac:dyDescent="0.3">
      <c r="A80" s="2">
        <v>1976</v>
      </c>
      <c r="B80">
        <v>330.37687523900001</v>
      </c>
      <c r="C80" s="2">
        <v>168.43402004534701</v>
      </c>
      <c r="D80">
        <v>116.695946484</v>
      </c>
      <c r="E80">
        <v>203.25381978199999</v>
      </c>
      <c r="F80">
        <v>251.80695698900001</v>
      </c>
      <c r="G80">
        <v>455.85170561400002</v>
      </c>
      <c r="H80">
        <v>748.70040811499996</v>
      </c>
      <c r="I80" s="2" t="s">
        <v>27</v>
      </c>
      <c r="J80" s="2">
        <v>467.35299889021201</v>
      </c>
      <c r="K80" s="2">
        <v>190.46199493270501</v>
      </c>
      <c r="L80" s="2">
        <v>427.86737957891597</v>
      </c>
      <c r="M80" s="2">
        <v>284.10608347104198</v>
      </c>
      <c r="N80" s="2">
        <v>313.23713504198702</v>
      </c>
      <c r="O80" s="2">
        <v>399.90376528457102</v>
      </c>
      <c r="P80" s="2">
        <v>268.35315930606703</v>
      </c>
      <c r="Q80" s="2">
        <v>85.497037356521702</v>
      </c>
      <c r="S80" s="2">
        <f t="shared" si="6"/>
        <v>314.12661907535789</v>
      </c>
      <c r="T80" s="24">
        <f t="shared" si="7"/>
        <v>-1.1798976893862088E-2</v>
      </c>
      <c r="U80" s="2" cm="1">
        <f t="array" ref="U80">SUMPRODUCT(B$2:Q$2, B80:Q80, --ISNUMBER(B80:Q80)) /
 SUMPRODUCT(B$2:Q$2, --ISNUMBER(B80:Q80))</f>
        <v>295.50388953725991</v>
      </c>
      <c r="V80" s="2">
        <f t="shared" si="8"/>
        <v>-3.9107786882210269E-2</v>
      </c>
      <c r="W80" s="7">
        <v>-1.76318671367628</v>
      </c>
      <c r="X80" s="2">
        <f t="shared" si="9"/>
        <v>-1.7631867136762801E-2</v>
      </c>
      <c r="AA80" s="2" cm="1">
        <f t="array" ref="AA80">_xlfn.STDEV.S( _xlfn._xlws.FILTER(B80:Q80, ISNUMBER(B80:Q80)) )</f>
        <v>169.01412283360276</v>
      </c>
      <c r="AB80" s="2" cm="1">
        <f t="array" ref="AB80">_xlfn.STDEV.S(_xlfn._xlws.FILTER(B80:Q80, ISNUMBER(B80:Q80))) /
 AVERAGE(_xlfn._xlws.FILTER(B80:Q80, ISNUMBER(B80:Q80)))</f>
        <v>0.5380445736534567</v>
      </c>
      <c r="AE80" s="2">
        <f t="shared" si="10"/>
        <v>-3.9107786882210269E-2</v>
      </c>
    </row>
    <row r="81" spans="1:31" x14ac:dyDescent="0.3">
      <c r="A81" s="2">
        <v>1977</v>
      </c>
      <c r="B81">
        <v>183.45053787399999</v>
      </c>
      <c r="C81" s="2">
        <v>90.720703619422395</v>
      </c>
      <c r="D81">
        <v>27.640899471000001</v>
      </c>
      <c r="E81">
        <v>75.213807582000001</v>
      </c>
      <c r="F81">
        <v>150.22295942</v>
      </c>
      <c r="G81">
        <v>285.67922346699999</v>
      </c>
      <c r="H81">
        <v>500.187899652</v>
      </c>
      <c r="I81" s="2" t="s">
        <v>27</v>
      </c>
      <c r="J81" s="2">
        <v>150.12579284425499</v>
      </c>
      <c r="K81" s="2">
        <v>92.825801788235296</v>
      </c>
      <c r="L81" s="2">
        <v>194.49801964592001</v>
      </c>
      <c r="M81" s="2">
        <v>161.327251515033</v>
      </c>
      <c r="N81" s="2">
        <v>139.287419579627</v>
      </c>
      <c r="O81" s="2">
        <v>171.912425472</v>
      </c>
      <c r="P81" s="2">
        <v>92.200009866067404</v>
      </c>
      <c r="Q81" s="2">
        <v>20.4448280932173</v>
      </c>
      <c r="S81" s="2">
        <f t="shared" si="6"/>
        <v>155.71583865931851</v>
      </c>
      <c r="T81" s="24">
        <f t="shared" si="7"/>
        <v>-0.51013845458269191</v>
      </c>
      <c r="U81" s="2" cm="1">
        <f t="array" ref="U81">SUMPRODUCT(B$2:Q$2, B81:Q81, --ISNUMBER(B81:Q81)) /
 SUMPRODUCT(B$2:Q$2, --ISNUMBER(B81:Q81))</f>
        <v>131.22932606909106</v>
      </c>
      <c r="V81" s="2">
        <f t="shared" si="8"/>
        <v>-0.57328061654300011</v>
      </c>
      <c r="W81" s="7">
        <v>-51.239115840033598</v>
      </c>
      <c r="X81" s="2">
        <f t="shared" si="9"/>
        <v>-0.512391158400336</v>
      </c>
      <c r="AA81" s="2" cm="1">
        <f t="array" ref="AA81">_xlfn.STDEV.S( _xlfn._xlws.FILTER(B81:Q81, ISNUMBER(B81:Q81)) )</f>
        <v>117.06093716628445</v>
      </c>
      <c r="AB81" s="2" cm="1">
        <f t="array" ref="AB81">_xlfn.STDEV.S(_xlfn._xlws.FILTER(B81:Q81, ISNUMBER(B81:Q81))) /
 AVERAGE(_xlfn._xlws.FILTER(B81:Q81, ISNUMBER(B81:Q81)))</f>
        <v>0.75175998905541752</v>
      </c>
      <c r="AE81" s="2">
        <f t="shared" si="10"/>
        <v>-0.57328061654300011</v>
      </c>
    </row>
    <row r="82" spans="1:31" x14ac:dyDescent="0.3">
      <c r="A82" s="2">
        <v>1978</v>
      </c>
      <c r="B82">
        <v>438.76412026399998</v>
      </c>
      <c r="C82" s="2">
        <v>248.68549088239499</v>
      </c>
      <c r="D82">
        <v>205.65914755700001</v>
      </c>
      <c r="E82">
        <v>281.40813416999998</v>
      </c>
      <c r="F82">
        <v>270.72395463800001</v>
      </c>
      <c r="G82">
        <v>563.76027382999996</v>
      </c>
      <c r="H82">
        <v>1083.077342108</v>
      </c>
      <c r="I82" s="2" t="s">
        <v>27</v>
      </c>
      <c r="J82" s="2">
        <v>520.69172834042502</v>
      </c>
      <c r="K82" s="2">
        <v>156.24597264564699</v>
      </c>
      <c r="L82" s="2">
        <v>436.06825198440401</v>
      </c>
      <c r="M82" s="2">
        <v>371.43403985454501</v>
      </c>
      <c r="N82" s="2">
        <v>331.10774440546498</v>
      </c>
      <c r="O82" s="2">
        <v>475.689230701714</v>
      </c>
      <c r="P82" s="2">
        <v>298.88719656269598</v>
      </c>
      <c r="Q82" s="2">
        <v>94.416386137043403</v>
      </c>
      <c r="S82" s="2">
        <f t="shared" si="6"/>
        <v>385.10793427208893</v>
      </c>
      <c r="T82" s="24">
        <f t="shared" si="7"/>
        <v>0.21149890376744412</v>
      </c>
      <c r="U82" s="2" cm="1">
        <f t="array" ref="U82">SUMPRODUCT(B$2:Q$2, B82:Q82, --ISNUMBER(B82:Q82)) /
 SUMPRODUCT(B$2:Q$2, --ISNUMBER(B82:Q82))</f>
        <v>332.33076430887616</v>
      </c>
      <c r="V82" s="2">
        <f t="shared" si="8"/>
        <v>8.0642437918293244E-2</v>
      </c>
      <c r="W82" s="7">
        <v>20.5614534496301</v>
      </c>
      <c r="X82" s="2">
        <f t="shared" si="9"/>
        <v>0.20561453449630102</v>
      </c>
      <c r="AA82" s="2" cm="1">
        <f t="array" ref="AA82">_xlfn.STDEV.S( _xlfn._xlws.FILTER(B82:Q82, ISNUMBER(B82:Q82)) )</f>
        <v>235.00889163296381</v>
      </c>
      <c r="AB82" s="2" cm="1">
        <f t="array" ref="AB82">_xlfn.STDEV.S(_xlfn._xlws.FILTER(B82:Q82, ISNUMBER(B82:Q82))) /
 AVERAGE(_xlfn._xlws.FILTER(B82:Q82, ISNUMBER(B82:Q82)))</f>
        <v>0.61024162505809043</v>
      </c>
      <c r="AE82" s="2">
        <f t="shared" si="10"/>
        <v>8.0642437918293244E-2</v>
      </c>
    </row>
    <row r="83" spans="1:31" x14ac:dyDescent="0.3">
      <c r="A83" s="2">
        <v>1979</v>
      </c>
      <c r="B83">
        <v>266.30444192800002</v>
      </c>
      <c r="C83" s="2">
        <v>131.914688046545</v>
      </c>
      <c r="D83">
        <v>91.166912026999995</v>
      </c>
      <c r="E83">
        <v>144.86388588400001</v>
      </c>
      <c r="F83">
        <v>198.33456932300001</v>
      </c>
      <c r="G83">
        <v>431.79311416899998</v>
      </c>
      <c r="H83">
        <v>808.98340516600001</v>
      </c>
      <c r="I83" s="2" t="s">
        <v>27</v>
      </c>
      <c r="J83" s="2">
        <v>337.37816390808501</v>
      </c>
      <c r="K83" s="2">
        <v>142.60993432094099</v>
      </c>
      <c r="L83" s="2">
        <v>343.35908967508999</v>
      </c>
      <c r="M83" s="2">
        <v>265.28755441809301</v>
      </c>
      <c r="N83" s="2">
        <v>255.719910177391</v>
      </c>
      <c r="O83" s="2">
        <v>347.68693884342798</v>
      </c>
      <c r="P83" s="2">
        <v>282.207901396853</v>
      </c>
      <c r="Q83" s="2">
        <v>48.829616554136599</v>
      </c>
      <c r="S83" s="2">
        <f t="shared" si="6"/>
        <v>273.09600838917083</v>
      </c>
      <c r="T83" s="24">
        <f t="shared" si="7"/>
        <v>-0.14087588090826758</v>
      </c>
      <c r="U83" s="2" cm="1">
        <f t="array" ref="U83">SUMPRODUCT(B$2:Q$2, B83:Q83, --ISNUMBER(B83:Q83)) /
 SUMPRODUCT(B$2:Q$2, --ISNUMBER(B83:Q83))</f>
        <v>246.05437565648595</v>
      </c>
      <c r="V83" s="2">
        <f t="shared" si="8"/>
        <v>-0.19990314191087746</v>
      </c>
      <c r="W83" s="7">
        <v>-14.504649117905901</v>
      </c>
      <c r="X83" s="2">
        <f t="shared" si="9"/>
        <v>-0.14504649117905902</v>
      </c>
      <c r="AA83" s="2" cm="1">
        <f t="array" ref="AA83">_xlfn.STDEV.S( _xlfn._xlws.FILTER(B83:Q83, ISNUMBER(B83:Q83)) )</f>
        <v>183.19976810993984</v>
      </c>
      <c r="AB83" s="2" cm="1">
        <f t="array" ref="AB83">_xlfn.STDEV.S(_xlfn._xlws.FILTER(B83:Q83, ISNUMBER(B83:Q83))) /
 AVERAGE(_xlfn._xlws.FILTER(B83:Q83, ISNUMBER(B83:Q83)))</f>
        <v>0.6708255063504045</v>
      </c>
      <c r="AE83" s="2">
        <f t="shared" si="10"/>
        <v>-0.19990314191087746</v>
      </c>
    </row>
    <row r="84" spans="1:31" x14ac:dyDescent="0.3">
      <c r="A84" s="2">
        <v>1980</v>
      </c>
      <c r="B84">
        <v>302.164639174</v>
      </c>
      <c r="C84" s="2">
        <v>160.17847657411701</v>
      </c>
      <c r="D84">
        <v>139.057183509</v>
      </c>
      <c r="E84">
        <v>191.18449147699999</v>
      </c>
      <c r="F84">
        <v>240.390396772</v>
      </c>
      <c r="G84">
        <v>506.97575059000002</v>
      </c>
      <c r="H84">
        <v>1048.359886577</v>
      </c>
      <c r="I84" s="2" t="s">
        <v>27</v>
      </c>
      <c r="J84" s="2">
        <v>456.78589211233998</v>
      </c>
      <c r="K84" s="2">
        <v>196.31577708423501</v>
      </c>
      <c r="L84" s="2">
        <v>443.64644102469299</v>
      </c>
      <c r="M84" s="2">
        <v>356.71121257010998</v>
      </c>
      <c r="N84" s="2">
        <v>383.57986526608602</v>
      </c>
      <c r="O84" s="2">
        <v>453.22737407999898</v>
      </c>
      <c r="P84" s="2">
        <v>420.73470512898803</v>
      </c>
      <c r="Q84" s="2">
        <v>110.036073721639</v>
      </c>
      <c r="S84" s="2">
        <f t="shared" si="6"/>
        <v>360.62321104408051</v>
      </c>
      <c r="T84" s="24">
        <f t="shared" si="7"/>
        <v>0.13447318523518551</v>
      </c>
      <c r="U84" s="2" cm="1">
        <f t="array" ref="U84">SUMPRODUCT(B$2:Q$2, B84:Q84, --ISNUMBER(B84:Q84)) /
 SUMPRODUCT(B$2:Q$2, --ISNUMBER(B84:Q84))</f>
        <v>336.03025358427766</v>
      </c>
      <c r="V84" s="2">
        <f t="shared" si="8"/>
        <v>9.2672094931649934E-2</v>
      </c>
      <c r="W84" s="7">
        <v>12.797795462600501</v>
      </c>
      <c r="X84" s="2">
        <f t="shared" si="9"/>
        <v>0.127977954626005</v>
      </c>
      <c r="AA84" s="2" cm="1">
        <f t="array" ref="AA84">_xlfn.STDEV.S( _xlfn._xlws.FILTER(B84:Q84, ISNUMBER(B84:Q84)) )</f>
        <v>231.28760843387084</v>
      </c>
      <c r="AB84" s="2" cm="1">
        <f t="array" ref="AB84">_xlfn.STDEV.S(_xlfn._xlws.FILTER(B84:Q84, ISNUMBER(B84:Q84))) /
 AVERAGE(_xlfn._xlws.FILTER(B84:Q84, ISNUMBER(B84:Q84)))</f>
        <v>0.64135530201798241</v>
      </c>
      <c r="AE84" s="2">
        <f t="shared" si="10"/>
        <v>9.2672094931649934E-2</v>
      </c>
    </row>
    <row r="85" spans="1:31" x14ac:dyDescent="0.3">
      <c r="A85" s="2">
        <v>1981</v>
      </c>
      <c r="B85">
        <v>247.812504684</v>
      </c>
      <c r="C85" s="2">
        <v>117.609440453133</v>
      </c>
      <c r="D85">
        <v>60.351104429999999</v>
      </c>
      <c r="E85">
        <v>108.869359976</v>
      </c>
      <c r="F85">
        <v>200.66653781799999</v>
      </c>
      <c r="G85">
        <v>371.63462718900001</v>
      </c>
      <c r="H85">
        <v>785.87999413800003</v>
      </c>
      <c r="I85" s="2" t="s">
        <v>27</v>
      </c>
      <c r="J85" s="2">
        <v>247.925031217021</v>
      </c>
      <c r="K85" s="2">
        <v>112.218478983529</v>
      </c>
      <c r="L85" s="2">
        <v>281.27623330657002</v>
      </c>
      <c r="M85" s="2">
        <v>342.89974673880198</v>
      </c>
      <c r="N85" s="2">
        <v>189.81444010136599</v>
      </c>
      <c r="O85" s="2">
        <v>361.393564525714</v>
      </c>
      <c r="P85" s="2">
        <v>150.244231938876</v>
      </c>
      <c r="Q85" s="2">
        <v>79.780265891776395</v>
      </c>
      <c r="S85" s="2">
        <f t="shared" si="6"/>
        <v>243.89170409278586</v>
      </c>
      <c r="T85" s="24">
        <f t="shared" si="7"/>
        <v>-0.23274878066359606</v>
      </c>
      <c r="U85" s="2" cm="1">
        <f t="array" ref="U85">SUMPRODUCT(B$2:Q$2, B85:Q85, --ISNUMBER(B85:Q85)) /
 SUMPRODUCT(B$2:Q$2, --ISNUMBER(B85:Q85))</f>
        <v>220.65416427491795</v>
      </c>
      <c r="V85" s="2">
        <f t="shared" si="8"/>
        <v>-0.28249719969574832</v>
      </c>
      <c r="W85" s="7">
        <v>-23.625667135793201</v>
      </c>
      <c r="X85" s="2">
        <f t="shared" si="9"/>
        <v>-0.23625667135793202</v>
      </c>
      <c r="AA85" s="2" cm="1">
        <f t="array" ref="AA85">_xlfn.STDEV.S( _xlfn._xlws.FILTER(B85:Q85, ISNUMBER(B85:Q85)) )</f>
        <v>181.42422586226195</v>
      </c>
      <c r="AB85" s="2" cm="1">
        <f t="array" ref="AB85">_xlfn.STDEV.S(_xlfn._xlws.FILTER(B85:Q85, ISNUMBER(B85:Q85))) /
 AVERAGE(_xlfn._xlws.FILTER(B85:Q85, ISNUMBER(B85:Q85)))</f>
        <v>0.74387206623986335</v>
      </c>
      <c r="AE85" s="2">
        <f t="shared" si="10"/>
        <v>-0.28249719969574832</v>
      </c>
    </row>
    <row r="86" spans="1:31" x14ac:dyDescent="0.3">
      <c r="A86" s="2">
        <v>1982</v>
      </c>
      <c r="B86">
        <v>440.14775074800002</v>
      </c>
      <c r="C86" s="2">
        <v>235.29738052722999</v>
      </c>
      <c r="D86">
        <v>222.07599426900001</v>
      </c>
      <c r="E86">
        <v>300.472056882</v>
      </c>
      <c r="F86">
        <v>331.67391600899998</v>
      </c>
      <c r="G86">
        <v>669.90588423199995</v>
      </c>
      <c r="H86">
        <v>1263.5060201470001</v>
      </c>
      <c r="I86" s="2" t="s">
        <v>27</v>
      </c>
      <c r="J86" s="2">
        <v>573.00671509787196</v>
      </c>
      <c r="K86" s="2">
        <v>235.824309232941</v>
      </c>
      <c r="L86" s="2">
        <v>551.28233932245405</v>
      </c>
      <c r="M86" s="2">
        <v>505.46927071077602</v>
      </c>
      <c r="N86" s="2">
        <v>424.82207088894398</v>
      </c>
      <c r="O86" s="2">
        <v>600.84883946057096</v>
      </c>
      <c r="P86" s="2">
        <v>438.06000513438198</v>
      </c>
      <c r="Q86" s="2">
        <v>148.72419544248399</v>
      </c>
      <c r="S86" s="2">
        <f t="shared" si="6"/>
        <v>462.74111654031032</v>
      </c>
      <c r="T86" s="24">
        <f t="shared" si="7"/>
        <v>0.45572268324293475</v>
      </c>
      <c r="U86" s="2" cm="1">
        <f t="array" ref="U86">SUMPRODUCT(B$2:Q$2, B86:Q86, --ISNUMBER(B86:Q86)) /
 SUMPRODUCT(B$2:Q$2, --ISNUMBER(B86:Q86))</f>
        <v>424.36801539302206</v>
      </c>
      <c r="V86" s="2">
        <f t="shared" si="8"/>
        <v>0.37992065730826702</v>
      </c>
      <c r="W86" s="7">
        <v>44.849458171488301</v>
      </c>
      <c r="X86" s="2">
        <f t="shared" si="9"/>
        <v>0.44849458171488299</v>
      </c>
      <c r="AA86" s="2" cm="1">
        <f t="array" ref="AA86">_xlfn.STDEV.S( _xlfn._xlws.FILTER(B86:Q86, ISNUMBER(B86:Q86)) )</f>
        <v>271.35305270986595</v>
      </c>
      <c r="AB86" s="2" cm="1">
        <f t="array" ref="AB86">_xlfn.STDEV.S(_xlfn._xlws.FILTER(B86:Q86, ISNUMBER(B86:Q86))) /
 AVERAGE(_xlfn._xlws.FILTER(B86:Q86, ISNUMBER(B86:Q86)))</f>
        <v>0.58640359157759825</v>
      </c>
      <c r="AE86" s="2">
        <f t="shared" si="10"/>
        <v>0.37992065730826702</v>
      </c>
    </row>
    <row r="87" spans="1:31" x14ac:dyDescent="0.3">
      <c r="A87" s="2">
        <v>1983</v>
      </c>
      <c r="B87">
        <v>781.10977420699999</v>
      </c>
      <c r="C87" s="2">
        <v>597.89236306139003</v>
      </c>
      <c r="D87">
        <v>549.306509893</v>
      </c>
      <c r="E87">
        <v>523.28768888599996</v>
      </c>
      <c r="F87">
        <v>480.25575855599999</v>
      </c>
      <c r="G87">
        <v>906.90853548400003</v>
      </c>
      <c r="H87">
        <v>1567.9633547660001</v>
      </c>
      <c r="I87" s="2" t="s">
        <v>27</v>
      </c>
      <c r="J87" s="2">
        <v>601.42858850042501</v>
      </c>
      <c r="K87" s="2">
        <v>278.80481420046999</v>
      </c>
      <c r="L87" s="2">
        <v>588.32095906657003</v>
      </c>
      <c r="M87" s="2">
        <v>618.17972851796003</v>
      </c>
      <c r="N87" s="2">
        <v>556.28046160457097</v>
      </c>
      <c r="O87" s="2">
        <v>709.23778296685703</v>
      </c>
      <c r="P87" s="2">
        <v>484.173754851235</v>
      </c>
      <c r="Q87" s="2">
        <v>250.64061495652101</v>
      </c>
      <c r="S87" s="2">
        <f t="shared" si="6"/>
        <v>632.91937930119991</v>
      </c>
      <c r="T87" s="24">
        <f t="shared" si="7"/>
        <v>0.99108111248319208</v>
      </c>
      <c r="U87" s="2" cm="1">
        <f t="array" ref="U87">SUMPRODUCT(B$2:Q$2, B87:Q87, --ISNUMBER(B87:Q87)) /
 SUMPRODUCT(B$2:Q$2, --ISNUMBER(B87:Q87))</f>
        <v>517.32062935915962</v>
      </c>
      <c r="V87" s="2">
        <f t="shared" si="8"/>
        <v>0.68217536904445053</v>
      </c>
      <c r="W87" s="7">
        <v>98.125517420301406</v>
      </c>
      <c r="X87" s="2">
        <f t="shared" si="9"/>
        <v>0.98125517420301411</v>
      </c>
      <c r="AA87" s="2" cm="1">
        <f t="array" ref="AA87">_xlfn.STDEV.S( _xlfn._xlws.FILTER(B87:Q87, ISNUMBER(B87:Q87)) )</f>
        <v>307.45921770918847</v>
      </c>
      <c r="AB87" s="2" cm="1">
        <f t="array" ref="AB87">_xlfn.STDEV.S(_xlfn._xlws.FILTER(B87:Q87, ISNUMBER(B87:Q87))) /
 AVERAGE(_xlfn._xlws.FILTER(B87:Q87, ISNUMBER(B87:Q87)))</f>
        <v>0.48577943378610272</v>
      </c>
      <c r="AE87" s="2">
        <f t="shared" si="10"/>
        <v>0.68217536904445053</v>
      </c>
    </row>
    <row r="88" spans="1:31" x14ac:dyDescent="0.3">
      <c r="A88" s="2">
        <v>1984</v>
      </c>
      <c r="B88">
        <v>657.37398384999995</v>
      </c>
      <c r="C88" s="2">
        <v>459.12858308585999</v>
      </c>
      <c r="D88">
        <v>438.130210508</v>
      </c>
      <c r="E88">
        <v>465.61473040700002</v>
      </c>
      <c r="F88">
        <v>520.95143500300003</v>
      </c>
      <c r="G88">
        <v>823.00321246600004</v>
      </c>
      <c r="H88">
        <v>1373.3977169</v>
      </c>
      <c r="I88" s="2" t="s">
        <v>27</v>
      </c>
      <c r="J88" s="2">
        <v>582.41010984306297</v>
      </c>
      <c r="K88" s="2">
        <v>388.04423256847002</v>
      </c>
      <c r="L88" s="2">
        <v>714.42538100447598</v>
      </c>
      <c r="M88" s="2">
        <v>611.21757798854105</v>
      </c>
      <c r="N88" s="2">
        <v>588.710450926509</v>
      </c>
      <c r="O88" s="2">
        <v>691.80304830171394</v>
      </c>
      <c r="P88" s="2">
        <v>559.59825606471895</v>
      </c>
      <c r="Q88" s="2">
        <v>220.65871676422299</v>
      </c>
      <c r="S88" s="2">
        <f t="shared" si="6"/>
        <v>606.2978430454383</v>
      </c>
      <c r="T88" s="24">
        <f t="shared" si="7"/>
        <v>0.90733326124397673</v>
      </c>
      <c r="U88" s="2" cm="1">
        <f t="array" ref="U88">SUMPRODUCT(B$2:Q$2, B88:Q88, --ISNUMBER(B88:Q88)) /
 SUMPRODUCT(B$2:Q$2, --ISNUMBER(B88:Q88))</f>
        <v>539.95908859315171</v>
      </c>
      <c r="V88" s="2">
        <f t="shared" si="8"/>
        <v>0.75578901666510112</v>
      </c>
      <c r="W88" s="7">
        <v>89.689902260250804</v>
      </c>
      <c r="X88" s="2">
        <f t="shared" si="9"/>
        <v>0.89689902260250809</v>
      </c>
      <c r="AA88" s="2" cm="1">
        <f t="array" ref="AA88">_xlfn.STDEV.S( _xlfn._xlws.FILTER(B88:Q88, ISNUMBER(B88:Q88)) )</f>
        <v>258.21737398554933</v>
      </c>
      <c r="AB88" s="2" cm="1">
        <f t="array" ref="AB88">_xlfn.STDEV.S(_xlfn._xlws.FILTER(B88:Q88, ISNUMBER(B88:Q88))) /
 AVERAGE(_xlfn._xlws.FILTER(B88:Q88, ISNUMBER(B88:Q88)))</f>
        <v>0.42589195549257053</v>
      </c>
      <c r="AE88" s="2">
        <f t="shared" si="10"/>
        <v>0.75578901666510112</v>
      </c>
    </row>
    <row r="89" spans="1:31" x14ac:dyDescent="0.3">
      <c r="A89" s="2">
        <v>1985</v>
      </c>
      <c r="B89">
        <v>434.152375941</v>
      </c>
      <c r="C89" s="2">
        <v>243.49274095572099</v>
      </c>
      <c r="D89">
        <v>241.317312203</v>
      </c>
      <c r="E89">
        <v>276.41145074899998</v>
      </c>
      <c r="F89">
        <v>404.35650777900003</v>
      </c>
      <c r="G89">
        <v>663.80394483099997</v>
      </c>
      <c r="H89">
        <v>956.40869043600003</v>
      </c>
      <c r="I89" s="2" t="s">
        <v>27</v>
      </c>
      <c r="J89" s="2">
        <v>370.207336360851</v>
      </c>
      <c r="K89" s="2">
        <v>257.35773650823501</v>
      </c>
      <c r="L89" s="2">
        <v>479.51476933776098</v>
      </c>
      <c r="M89" s="2">
        <v>449.26376547448302</v>
      </c>
      <c r="N89" s="2">
        <v>407.01984395925399</v>
      </c>
      <c r="O89" s="2">
        <v>523.79639950628496</v>
      </c>
      <c r="P89" s="2">
        <v>392.46580824593201</v>
      </c>
      <c r="Q89" s="2">
        <v>159.474293936496</v>
      </c>
      <c r="S89" s="2">
        <f t="shared" si="6"/>
        <v>417.26953174826787</v>
      </c>
      <c r="T89" s="24">
        <f t="shared" si="7"/>
        <v>0.3126750588613344</v>
      </c>
      <c r="U89" s="2" cm="1">
        <f t="array" ref="U89">SUMPRODUCT(B$2:Q$2, B89:Q89, --ISNUMBER(B89:Q89)) /
 SUMPRODUCT(B$2:Q$2, --ISNUMBER(B89:Q89))</f>
        <v>376.24542094632511</v>
      </c>
      <c r="V89" s="2">
        <f t="shared" si="8"/>
        <v>0.22344005615182766</v>
      </c>
      <c r="W89" s="7">
        <v>30.600265363807399</v>
      </c>
      <c r="X89" s="2">
        <f t="shared" si="9"/>
        <v>0.306002653638074</v>
      </c>
      <c r="AA89" s="2" cm="1">
        <f t="array" ref="AA89">_xlfn.STDEV.S( _xlfn._xlws.FILTER(B89:Q89, ISNUMBER(B89:Q89)) )</f>
        <v>197.14243464388846</v>
      </c>
      <c r="AB89" s="2" cm="1">
        <f t="array" ref="AB89">_xlfn.STDEV.S(_xlfn._xlws.FILTER(B89:Q89, ISNUMBER(B89:Q89))) /
 AVERAGE(_xlfn._xlws.FILTER(B89:Q89, ISNUMBER(B89:Q89)))</f>
        <v>0.47245825454330415</v>
      </c>
      <c r="AE89" s="2">
        <f t="shared" si="10"/>
        <v>0.22344005615182766</v>
      </c>
    </row>
    <row r="90" spans="1:31" x14ac:dyDescent="0.3">
      <c r="A90" s="2">
        <v>1986</v>
      </c>
      <c r="B90">
        <v>617.76689169500003</v>
      </c>
      <c r="C90" s="2">
        <v>419.01789342802101</v>
      </c>
      <c r="D90">
        <v>477.02668664700002</v>
      </c>
      <c r="E90">
        <v>429.27242604100002</v>
      </c>
      <c r="F90">
        <v>511.20178438599999</v>
      </c>
      <c r="G90">
        <v>796.80370781700003</v>
      </c>
      <c r="H90">
        <v>1272.97201212</v>
      </c>
      <c r="I90" s="2" t="s">
        <v>27</v>
      </c>
      <c r="J90" s="2">
        <v>683.50903864646796</v>
      </c>
      <c r="K90" s="2">
        <v>352.18756820329401</v>
      </c>
      <c r="L90" s="2">
        <v>741.24051145472902</v>
      </c>
      <c r="M90" s="2">
        <v>662.63029844008804</v>
      </c>
      <c r="N90" s="2">
        <v>659.60479944983797</v>
      </c>
      <c r="O90" s="2">
        <v>797.59513089462803</v>
      </c>
      <c r="P90" s="2">
        <v>652.642195657348</v>
      </c>
      <c r="Q90" s="2">
        <v>273.10044543204901</v>
      </c>
      <c r="S90" s="2">
        <f t="shared" si="6"/>
        <v>623.10475935416423</v>
      </c>
      <c r="T90" s="24">
        <f t="shared" si="7"/>
        <v>0.9602056091539698</v>
      </c>
      <c r="U90" s="2" cm="1">
        <f t="array" ref="U90">SUMPRODUCT(B$2:Q$2, B90:Q90, --ISNUMBER(B90:Q90)) /
 SUMPRODUCT(B$2:Q$2, --ISNUMBER(B90:Q90))</f>
        <v>578.73388386716761</v>
      </c>
      <c r="V90" s="2">
        <f t="shared" si="8"/>
        <v>0.88187330916758766</v>
      </c>
      <c r="W90" s="7">
        <v>94.995836348938298</v>
      </c>
      <c r="X90" s="2">
        <f t="shared" si="9"/>
        <v>0.94995836348938301</v>
      </c>
      <c r="AA90" s="2" cm="1">
        <f t="array" ref="AA90">_xlfn.STDEV.S( _xlfn._xlws.FILTER(B90:Q90, ISNUMBER(B90:Q90)) )</f>
        <v>241.02882360777519</v>
      </c>
      <c r="AB90" s="2" cm="1">
        <f t="array" ref="AB90">_xlfn.STDEV.S(_xlfn._xlws.FILTER(B90:Q90, ISNUMBER(B90:Q90))) /
 AVERAGE(_xlfn._xlws.FILTER(B90:Q90, ISNUMBER(B90:Q90)))</f>
        <v>0.3868191022286474</v>
      </c>
      <c r="AE90" s="2">
        <f t="shared" si="10"/>
        <v>0.88187330916758766</v>
      </c>
    </row>
    <row r="91" spans="1:31" x14ac:dyDescent="0.3">
      <c r="A91" s="2">
        <v>1987</v>
      </c>
      <c r="B91">
        <v>254.62605415199999</v>
      </c>
      <c r="C91" s="2">
        <v>126.338598304171</v>
      </c>
      <c r="D91">
        <v>67.281624304000005</v>
      </c>
      <c r="E91">
        <v>117.75749556300001</v>
      </c>
      <c r="F91">
        <v>232.587004092</v>
      </c>
      <c r="G91">
        <v>402.04425448400002</v>
      </c>
      <c r="H91">
        <v>662.34625033099996</v>
      </c>
      <c r="I91" s="2">
        <v>135.215097746564</v>
      </c>
      <c r="J91" s="2">
        <v>266.14996469106302</v>
      </c>
      <c r="K91" s="2">
        <v>160.39794843105801</v>
      </c>
      <c r="L91" s="2">
        <v>305.76402947696698</v>
      </c>
      <c r="M91" s="2">
        <v>346.27395402359201</v>
      </c>
      <c r="N91" s="2">
        <v>262.071878471552</v>
      </c>
      <c r="O91" s="2">
        <v>318.724192182857</v>
      </c>
      <c r="P91" s="2">
        <v>177.41079715954999</v>
      </c>
      <c r="Q91" s="2">
        <v>70.375401831353997</v>
      </c>
      <c r="S91" s="2">
        <f t="shared" si="6"/>
        <v>244.08528407779548</v>
      </c>
      <c r="T91" s="24">
        <f t="shared" si="7"/>
        <v>-0.23213980349444541</v>
      </c>
      <c r="U91" s="2" cm="1">
        <f t="array" ref="U91">SUMPRODUCT(B$2:Q$2, B91:Q91, --ISNUMBER(B91:Q91)) /
 SUMPRODUCT(B$2:Q$2, --ISNUMBER(B91:Q91))</f>
        <v>230.0596988379576</v>
      </c>
      <c r="V91" s="2">
        <f t="shared" si="8"/>
        <v>-0.25191315244010137</v>
      </c>
      <c r="W91" s="7">
        <v>-23.584711861868801</v>
      </c>
      <c r="X91" s="2">
        <f t="shared" si="9"/>
        <v>-0.23584711861868801</v>
      </c>
      <c r="AA91" s="2" cm="1">
        <f t="array" ref="AA91">_xlfn.STDEV.S( _xlfn._xlws.FILTER(B91:Q91, ISNUMBER(B91:Q91)) )</f>
        <v>149.51569393580183</v>
      </c>
      <c r="AB91" s="2" cm="1">
        <f t="array" ref="AB91">_xlfn.STDEV.S(_xlfn._xlws.FILTER(B91:Q91, ISNUMBER(B91:Q91))) /
 AVERAGE(_xlfn._xlws.FILTER(B91:Q91, ISNUMBER(B91:Q91)))</f>
        <v>0.61255513416428586</v>
      </c>
      <c r="AE91" s="2">
        <f t="shared" si="10"/>
        <v>-0.25191315244010137</v>
      </c>
    </row>
    <row r="92" spans="1:31" x14ac:dyDescent="0.3">
      <c r="A92" s="2">
        <v>1988</v>
      </c>
      <c r="B92">
        <v>182.371820536</v>
      </c>
      <c r="C92" s="2">
        <v>67.058301207272706</v>
      </c>
      <c r="D92">
        <v>37.258062361</v>
      </c>
      <c r="E92">
        <v>84.066548170999994</v>
      </c>
      <c r="F92">
        <v>165.19410707</v>
      </c>
      <c r="G92">
        <v>292.14757174099998</v>
      </c>
      <c r="H92">
        <v>498.704542866</v>
      </c>
      <c r="I92" s="2">
        <v>63.341923413984702</v>
      </c>
      <c r="J92" s="2">
        <v>268.58496849702101</v>
      </c>
      <c r="K92" s="2">
        <v>105.206173259294</v>
      </c>
      <c r="L92" s="2">
        <v>257.08873833357399</v>
      </c>
      <c r="M92" s="2">
        <v>260.49748201862502</v>
      </c>
      <c r="N92" s="2">
        <v>168.79823878360199</v>
      </c>
      <c r="O92" s="2">
        <v>271.400508781714</v>
      </c>
      <c r="P92" s="2">
        <v>139.24840488269601</v>
      </c>
      <c r="Q92" s="2">
        <v>43.434242528198702</v>
      </c>
      <c r="S92" s="2">
        <f t="shared" si="6"/>
        <v>181.52510215318637</v>
      </c>
      <c r="T92" s="24">
        <f t="shared" si="7"/>
        <v>-0.42894590660528664</v>
      </c>
      <c r="U92" s="2" cm="1">
        <f t="array" ref="U92">SUMPRODUCT(B$2:Q$2, B92:Q92, --ISNUMBER(B92:Q92)) /
 SUMPRODUCT(B$2:Q$2, --ISNUMBER(B92:Q92))</f>
        <v>179.78363975980918</v>
      </c>
      <c r="V92" s="2">
        <f t="shared" si="8"/>
        <v>-0.41539619068400718</v>
      </c>
      <c r="W92" s="7">
        <v>-43.214052722557</v>
      </c>
      <c r="X92" s="2">
        <f t="shared" si="9"/>
        <v>-0.43214052722557</v>
      </c>
      <c r="AA92" s="2" cm="1">
        <f t="array" ref="AA92">_xlfn.STDEV.S( _xlfn._xlws.FILTER(B92:Q92, ISNUMBER(B92:Q92)) )</f>
        <v>122.45681498201448</v>
      </c>
      <c r="AB92" s="2" cm="1">
        <f t="array" ref="AB92">_xlfn.STDEV.S(_xlfn._xlws.FILTER(B92:Q92, ISNUMBER(B92:Q92))) /
 AVERAGE(_xlfn._xlws.FILTER(B92:Q92, ISNUMBER(B92:Q92)))</f>
        <v>0.67459989571400969</v>
      </c>
      <c r="AE92" s="2">
        <f t="shared" si="10"/>
        <v>-0.41539619068400718</v>
      </c>
    </row>
    <row r="93" spans="1:31" x14ac:dyDescent="0.3">
      <c r="A93" s="2">
        <v>1989</v>
      </c>
      <c r="B93">
        <v>229.30379453200001</v>
      </c>
      <c r="C93" s="2">
        <v>91.224409520598897</v>
      </c>
      <c r="D93">
        <v>73.716175910999993</v>
      </c>
      <c r="E93">
        <v>127.915857468</v>
      </c>
      <c r="F93">
        <v>160.73502554199999</v>
      </c>
      <c r="G93">
        <v>345.85006519900003</v>
      </c>
      <c r="H93">
        <v>626.490460934</v>
      </c>
      <c r="I93" s="2">
        <v>47.0133930327938</v>
      </c>
      <c r="J93" s="2">
        <v>338.56963845446802</v>
      </c>
      <c r="K93" s="2">
        <v>108.314758249411</v>
      </c>
      <c r="L93" s="2">
        <v>354.929518163176</v>
      </c>
      <c r="M93" s="2">
        <v>317.86443063059801</v>
      </c>
      <c r="N93" s="2">
        <v>241.222834214161</v>
      </c>
      <c r="O93" s="2">
        <v>340.85401409828501</v>
      </c>
      <c r="P93" s="2">
        <v>250.07259682516801</v>
      </c>
      <c r="Q93" s="2">
        <v>58.913366221117997</v>
      </c>
      <c r="S93" s="2">
        <f t="shared" si="6"/>
        <v>232.06189618723616</v>
      </c>
      <c r="T93" s="24">
        <f t="shared" si="7"/>
        <v>-0.26996380023062244</v>
      </c>
      <c r="U93" s="2" cm="1">
        <f t="array" ref="U93">SUMPRODUCT(B$2:Q$2, B93:Q93, --ISNUMBER(B93:Q93)) /
 SUMPRODUCT(B$2:Q$2, --ISNUMBER(B93:Q93))</f>
        <v>232.03117506387966</v>
      </c>
      <c r="V93" s="2">
        <f t="shared" si="8"/>
        <v>-0.24550248841533395</v>
      </c>
      <c r="W93" s="7">
        <v>-27.350231950642101</v>
      </c>
      <c r="X93" s="2">
        <f t="shared" si="9"/>
        <v>-0.27350231950642101</v>
      </c>
      <c r="AA93" s="2" cm="1">
        <f t="array" ref="AA93">_xlfn.STDEV.S( _xlfn._xlws.FILTER(B93:Q93, ISNUMBER(B93:Q93)) )</f>
        <v>153.82997272023039</v>
      </c>
      <c r="AB93" s="2" cm="1">
        <f t="array" ref="AB93">_xlfn.STDEV.S(_xlfn._xlws.FILTER(B93:Q93, ISNUMBER(B93:Q93))) /
 AVERAGE(_xlfn._xlws.FILTER(B93:Q93, ISNUMBER(B93:Q93)))</f>
        <v>0.66288337399481845</v>
      </c>
      <c r="AE93" s="2">
        <f t="shared" si="10"/>
        <v>-0.24550248841533395</v>
      </c>
    </row>
    <row r="94" spans="1:31" x14ac:dyDescent="0.3">
      <c r="A94" s="2">
        <v>1990</v>
      </c>
      <c r="B94">
        <v>157.75638068200001</v>
      </c>
      <c r="C94" s="2">
        <v>53.379742254545398</v>
      </c>
      <c r="D94">
        <v>27.792593441000001</v>
      </c>
      <c r="E94">
        <v>56.119935271999999</v>
      </c>
      <c r="F94">
        <v>138.62191563499999</v>
      </c>
      <c r="G94">
        <v>304.53985088600001</v>
      </c>
      <c r="H94">
        <v>660.48989584599997</v>
      </c>
      <c r="I94" s="2">
        <v>33.049259250320603</v>
      </c>
      <c r="J94" s="2">
        <v>275.51402920851001</v>
      </c>
      <c r="K94" s="2">
        <v>78.254309647058804</v>
      </c>
      <c r="L94" s="2">
        <v>231.717703347292</v>
      </c>
      <c r="M94" s="2">
        <v>296.67527684541</v>
      </c>
      <c r="N94" s="2">
        <v>152.61439612024799</v>
      </c>
      <c r="O94" s="2">
        <v>332.81527910400001</v>
      </c>
      <c r="P94" s="2">
        <v>135.05624581752801</v>
      </c>
      <c r="Q94" s="2">
        <v>45.404036523726703</v>
      </c>
      <c r="S94" s="2">
        <f t="shared" si="6"/>
        <v>186.23755311753996</v>
      </c>
      <c r="T94" s="24">
        <f t="shared" si="7"/>
        <v>-0.4141211557515726</v>
      </c>
      <c r="U94" s="2" cm="1">
        <f t="array" ref="U94">SUMPRODUCT(B$2:Q$2, B94:Q94, --ISNUMBER(B94:Q94)) /
 SUMPRODUCT(B$2:Q$2, --ISNUMBER(B94:Q94))</f>
        <v>182.51625016204471</v>
      </c>
      <c r="V94" s="2">
        <f t="shared" si="8"/>
        <v>-0.40651054095159744</v>
      </c>
      <c r="W94" s="7">
        <v>-41.675287391663097</v>
      </c>
      <c r="X94" s="2">
        <f t="shared" si="9"/>
        <v>-0.41675287391663096</v>
      </c>
      <c r="AA94" s="2" cm="1">
        <f t="array" ref="AA94">_xlfn.STDEV.S( _xlfn._xlws.FILTER(B94:Q94, ISNUMBER(B94:Q94)) )</f>
        <v>164.13554406009325</v>
      </c>
      <c r="AB94" s="2" cm="1">
        <f t="array" ref="AB94">_xlfn.STDEV.S(_xlfn._xlws.FILTER(B94:Q94, ISNUMBER(B94:Q94))) /
 AVERAGE(_xlfn._xlws.FILTER(B94:Q94, ISNUMBER(B94:Q94)))</f>
        <v>0.8813235639780046</v>
      </c>
      <c r="AE94" s="2">
        <f t="shared" si="10"/>
        <v>-0.40651054095159744</v>
      </c>
    </row>
    <row r="95" spans="1:31" x14ac:dyDescent="0.3">
      <c r="A95" s="2">
        <v>1991</v>
      </c>
      <c r="B95">
        <v>250.187397619</v>
      </c>
      <c r="C95" s="2">
        <v>97.813144373390301</v>
      </c>
      <c r="D95">
        <v>86.393883868000003</v>
      </c>
      <c r="E95">
        <v>118.10472949</v>
      </c>
      <c r="F95">
        <v>153.86935148200001</v>
      </c>
      <c r="G95">
        <v>393.20252352199998</v>
      </c>
      <c r="H95">
        <v>779.80358459900003</v>
      </c>
      <c r="I95" s="2">
        <v>27.635052504916001</v>
      </c>
      <c r="J95" s="2">
        <v>320.60497854638299</v>
      </c>
      <c r="K95" s="2">
        <v>88.504724735999901</v>
      </c>
      <c r="L95" s="2">
        <v>254.21379598786999</v>
      </c>
      <c r="M95" s="2">
        <v>341.66289905241598</v>
      </c>
      <c r="N95" s="2">
        <v>188.96801753202399</v>
      </c>
      <c r="O95" s="2">
        <v>368.12746137599902</v>
      </c>
      <c r="P95" s="2">
        <v>208.31594357932499</v>
      </c>
      <c r="Q95" s="2">
        <v>66.586255194633495</v>
      </c>
      <c r="S95" s="2">
        <f t="shared" si="6"/>
        <v>233.99960896643481</v>
      </c>
      <c r="T95" s="24">
        <f t="shared" si="7"/>
        <v>-0.26386801071578808</v>
      </c>
      <c r="U95" s="2" cm="1">
        <f t="array" ref="U95">SUMPRODUCT(B$2:Q$2, B95:Q95, --ISNUMBER(B95:Q95)) /
 SUMPRODUCT(B$2:Q$2, --ISNUMBER(B95:Q95))</f>
        <v>218.46287662427972</v>
      </c>
      <c r="V95" s="2">
        <f t="shared" si="8"/>
        <v>-0.28962262617827844</v>
      </c>
      <c r="W95" s="7">
        <v>-26.722065028535699</v>
      </c>
      <c r="X95" s="2">
        <f t="shared" si="9"/>
        <v>-0.26722065028535696</v>
      </c>
      <c r="AA95" s="2" cm="1">
        <f t="array" ref="AA95">_xlfn.STDEV.S( _xlfn._xlws.FILTER(B95:Q95, ISNUMBER(B95:Q95)) )</f>
        <v>185.410690528212</v>
      </c>
      <c r="AB95" s="2" cm="1">
        <f t="array" ref="AB95">_xlfn.STDEV.S(_xlfn._xlws.FILTER(B95:Q95, ISNUMBER(B95:Q95))) /
 AVERAGE(_xlfn._xlws.FILTER(B95:Q95, ISNUMBER(B95:Q95)))</f>
        <v>0.7923547024166504</v>
      </c>
      <c r="AE95" s="2">
        <f t="shared" si="10"/>
        <v>-0.28962262617827844</v>
      </c>
    </row>
    <row r="96" spans="1:31" x14ac:dyDescent="0.3">
      <c r="A96" s="2">
        <v>1992</v>
      </c>
      <c r="B96">
        <v>164.056615018</v>
      </c>
      <c r="C96" s="2">
        <v>61.904801091080202</v>
      </c>
      <c r="D96">
        <v>23.638844249000002</v>
      </c>
      <c r="E96">
        <v>54.882199708000002</v>
      </c>
      <c r="F96">
        <v>99.423528833000006</v>
      </c>
      <c r="G96">
        <v>274.61171253800001</v>
      </c>
      <c r="H96">
        <v>522.84509832599997</v>
      </c>
      <c r="I96" s="2">
        <v>22.157346956702199</v>
      </c>
      <c r="J96" s="2">
        <v>229.52658203234</v>
      </c>
      <c r="K96" s="2">
        <v>71.3103640094117</v>
      </c>
      <c r="L96" s="2">
        <v>191.34485707321301</v>
      </c>
      <c r="M96" s="2">
        <v>226.85847981126301</v>
      </c>
      <c r="N96" s="2">
        <v>124.446911837813</v>
      </c>
      <c r="O96" s="2">
        <v>218.484661906285</v>
      </c>
      <c r="P96" s="2">
        <v>107.20244140584199</v>
      </c>
      <c r="Q96" s="2">
        <v>39.0691638380124</v>
      </c>
      <c r="S96" s="2">
        <f t="shared" si="6"/>
        <v>151.98522553962266</v>
      </c>
      <c r="T96" s="24">
        <f t="shared" si="7"/>
        <v>-0.52187447272896759</v>
      </c>
      <c r="U96" s="2" cm="1">
        <f t="array" ref="U96">SUMPRODUCT(B$2:Q$2, B96:Q96, --ISNUMBER(B96:Q96)) /
 SUMPRODUCT(B$2:Q$2, --ISNUMBER(B96:Q96))</f>
        <v>145.09801524392694</v>
      </c>
      <c r="V96" s="2">
        <f t="shared" si="8"/>
        <v>-0.52818369597414072</v>
      </c>
      <c r="W96" s="7">
        <v>-52.454496132195899</v>
      </c>
      <c r="X96" s="2">
        <f t="shared" si="9"/>
        <v>-0.52454496132195905</v>
      </c>
      <c r="AA96" s="2" cm="1">
        <f t="array" ref="AA96">_xlfn.STDEV.S( _xlfn._xlws.FILTER(B96:Q96, ISNUMBER(B96:Q96)) )</f>
        <v>128.05380422735524</v>
      </c>
      <c r="AB96" s="2" cm="1">
        <f t="array" ref="AB96">_xlfn.STDEV.S(_xlfn._xlws.FILTER(B96:Q96, ISNUMBER(B96:Q96))) /
 AVERAGE(_xlfn._xlws.FILTER(B96:Q96, ISNUMBER(B96:Q96)))</f>
        <v>0.84254113367072991</v>
      </c>
      <c r="AE96" s="2">
        <f t="shared" si="10"/>
        <v>-0.52818369597414072</v>
      </c>
    </row>
    <row r="97" spans="1:31" x14ac:dyDescent="0.3">
      <c r="A97" s="2">
        <v>1993</v>
      </c>
      <c r="B97">
        <v>378.167857588</v>
      </c>
      <c r="C97" s="2">
        <v>227.915799502716</v>
      </c>
      <c r="D97">
        <v>232.47876619199999</v>
      </c>
      <c r="E97">
        <v>210.86555759300001</v>
      </c>
      <c r="F97">
        <v>286.80790542900002</v>
      </c>
      <c r="G97">
        <v>609.13170659599996</v>
      </c>
      <c r="H97">
        <v>1182.4294350990001</v>
      </c>
      <c r="I97" s="2">
        <v>57.203083271816702</v>
      </c>
      <c r="J97" s="2">
        <v>458.607807074042</v>
      </c>
      <c r="K97" s="2">
        <v>154.92194570541099</v>
      </c>
      <c r="L97" s="2">
        <v>404.61611775075801</v>
      </c>
      <c r="M97" s="2">
        <v>461.50693013853601</v>
      </c>
      <c r="N97" s="2" t="s">
        <v>27</v>
      </c>
      <c r="O97" s="2">
        <v>591.23730848914295</v>
      </c>
      <c r="P97" s="2">
        <v>329.64115036044899</v>
      </c>
      <c r="Q97" s="2">
        <v>152.91147980481901</v>
      </c>
      <c r="S97" s="2">
        <f t="shared" si="6"/>
        <v>382.56285670631274</v>
      </c>
      <c r="T97" s="24">
        <f t="shared" si="7"/>
        <v>0.20349242452736052</v>
      </c>
      <c r="U97" s="2" cm="1">
        <f t="array" ref="U97">SUMPRODUCT(B$2:Q$2, B97:Q97, --ISNUMBER(B97:Q97)) /
 SUMPRODUCT(B$2:Q$2, --ISNUMBER(B97:Q97))</f>
        <v>346.66813814780892</v>
      </c>
      <c r="V97" s="2">
        <f t="shared" si="8"/>
        <v>0.12726338392331057</v>
      </c>
      <c r="W97" s="7">
        <v>19.820563451521299</v>
      </c>
      <c r="X97" s="2">
        <f t="shared" si="9"/>
        <v>0.19820563451521298</v>
      </c>
      <c r="AA97" s="2" cm="1">
        <f t="array" ref="AA97">_xlfn.STDEV.S( _xlfn._xlws.FILTER(B97:Q97, ISNUMBER(B97:Q97)) )</f>
        <v>273.2732052012388</v>
      </c>
      <c r="AB97" s="2" cm="1">
        <f t="array" ref="AB97">_xlfn.STDEV.S(_xlfn._xlws.FILTER(B97:Q97, ISNUMBER(B97:Q97))) /
 AVERAGE(_xlfn._xlws.FILTER(B97:Q97, ISNUMBER(B97:Q97)))</f>
        <v>0.71432236666673099</v>
      </c>
      <c r="AE97" s="2">
        <f t="shared" si="10"/>
        <v>0.12726338392331057</v>
      </c>
    </row>
    <row r="98" spans="1:31" x14ac:dyDescent="0.3">
      <c r="A98" s="2">
        <v>1994</v>
      </c>
      <c r="B98">
        <v>215.22634583499999</v>
      </c>
      <c r="C98" s="2">
        <v>117.001068390673</v>
      </c>
      <c r="D98">
        <v>65.017472756000004</v>
      </c>
      <c r="E98">
        <v>121.913048808</v>
      </c>
      <c r="F98">
        <v>199.87002344800001</v>
      </c>
      <c r="G98">
        <v>418.94409405499999</v>
      </c>
      <c r="H98">
        <v>662.77347088800002</v>
      </c>
      <c r="I98" s="2">
        <v>51.310767893496099</v>
      </c>
      <c r="J98" s="2">
        <v>220.746687074042</v>
      </c>
      <c r="K98" s="2">
        <v>115.632885413647</v>
      </c>
      <c r="L98" s="2">
        <v>269.34809309805001</v>
      </c>
      <c r="M98" s="2">
        <v>264.41416635884701</v>
      </c>
      <c r="N98" s="2" t="s">
        <v>27</v>
      </c>
      <c r="O98" s="2">
        <v>323.48335630628497</v>
      </c>
      <c r="P98" s="2">
        <v>212.43250633348299</v>
      </c>
      <c r="Q98" s="2">
        <v>58.0582058963478</v>
      </c>
      <c r="S98" s="2">
        <f t="shared" si="6"/>
        <v>221.07814617032471</v>
      </c>
      <c r="T98" s="24">
        <f t="shared" si="7"/>
        <v>-0.30451723297122724</v>
      </c>
      <c r="U98" s="2" cm="1">
        <f t="array" ref="U98">SUMPRODUCT(B$2:Q$2, B98:Q98, --ISNUMBER(B98:Q98)) /
 SUMPRODUCT(B$2:Q$2, --ISNUMBER(B98:Q98))</f>
        <v>201.80932327312152</v>
      </c>
      <c r="V98" s="2">
        <f t="shared" si="8"/>
        <v>-0.34377511046851272</v>
      </c>
      <c r="W98" s="7">
        <v>-30.7445581494527</v>
      </c>
      <c r="X98" s="2">
        <f t="shared" si="9"/>
        <v>-0.307445581494527</v>
      </c>
      <c r="AA98" s="2" cm="1">
        <f t="array" ref="AA98">_xlfn.STDEV.S( _xlfn._xlws.FILTER(B98:Q98, ISNUMBER(B98:Q98)) )</f>
        <v>160.58715008087086</v>
      </c>
      <c r="AB98" s="2" cm="1">
        <f t="array" ref="AB98">_xlfn.STDEV.S(_xlfn._xlws.FILTER(B98:Q98, ISNUMBER(B98:Q98))) /
 AVERAGE(_xlfn._xlws.FILTER(B98:Q98, ISNUMBER(B98:Q98)))</f>
        <v>0.72638183765640085</v>
      </c>
      <c r="AE98" s="2">
        <f t="shared" si="10"/>
        <v>-0.34377511046851272</v>
      </c>
    </row>
    <row r="99" spans="1:31" x14ac:dyDescent="0.3">
      <c r="A99" s="2">
        <v>1995</v>
      </c>
      <c r="B99">
        <v>447.01981780099999</v>
      </c>
      <c r="C99" s="2">
        <v>287.43944542459798</v>
      </c>
      <c r="D99">
        <v>304.85588694500001</v>
      </c>
      <c r="E99">
        <v>309.87968198999999</v>
      </c>
      <c r="F99">
        <v>335.19353027900002</v>
      </c>
      <c r="G99">
        <v>757.69216934200006</v>
      </c>
      <c r="H99">
        <v>1221.7407068319999</v>
      </c>
      <c r="I99" s="2">
        <v>87.122225066015204</v>
      </c>
      <c r="J99" s="2">
        <v>411.71807820255299</v>
      </c>
      <c r="K99" s="2">
        <v>161.79033545788201</v>
      </c>
      <c r="L99" s="2">
        <v>441.83580145212898</v>
      </c>
      <c r="M99" s="2">
        <v>595.27634723760502</v>
      </c>
      <c r="N99" s="2" t="s">
        <v>27</v>
      </c>
      <c r="O99" s="2">
        <v>626.14755401142804</v>
      </c>
      <c r="P99" s="2">
        <v>313.75218026426899</v>
      </c>
      <c r="Q99" s="2">
        <v>132.86478943721701</v>
      </c>
      <c r="S99" s="2">
        <f t="shared" si="6"/>
        <v>428.95523664951304</v>
      </c>
      <c r="T99" s="24">
        <f t="shared" si="7"/>
        <v>0.34943674933226077</v>
      </c>
      <c r="U99" s="2" cm="1">
        <f t="array" ref="U99">SUMPRODUCT(B$2:Q$2, B99:Q99, --ISNUMBER(B99:Q99)) /
 SUMPRODUCT(B$2:Q$2, --ISNUMBER(B99:Q99))</f>
        <v>373.46463829136547</v>
      </c>
      <c r="V99" s="2">
        <f t="shared" si="8"/>
        <v>0.21439776434406851</v>
      </c>
      <c r="W99" s="7">
        <v>34.400806941236503</v>
      </c>
      <c r="X99" s="2">
        <f t="shared" si="9"/>
        <v>0.34400806941236506</v>
      </c>
      <c r="AA99" s="2" cm="1">
        <f t="array" ref="AA99">_xlfn.STDEV.S( _xlfn._xlws.FILTER(B99:Q99, ISNUMBER(B99:Q99)) )</f>
        <v>286.79004946444007</v>
      </c>
      <c r="AB99" s="2" cm="1">
        <f t="array" ref="AB99">_xlfn.STDEV.S(_xlfn._xlws.FILTER(B99:Q99, ISNUMBER(B99:Q99))) /
 AVERAGE(_xlfn._xlws.FILTER(B99:Q99, ISNUMBER(B99:Q99)))</f>
        <v>0.66857803556497419</v>
      </c>
      <c r="AE99" s="2">
        <f t="shared" si="10"/>
        <v>0.21439776434406851</v>
      </c>
    </row>
    <row r="100" spans="1:31" x14ac:dyDescent="0.3">
      <c r="A100" s="2">
        <v>1996</v>
      </c>
      <c r="B100">
        <v>352.97635158700001</v>
      </c>
      <c r="C100" s="2">
        <v>248.04571897155</v>
      </c>
      <c r="D100">
        <v>261.798373115</v>
      </c>
      <c r="E100">
        <v>243.832087543</v>
      </c>
      <c r="F100">
        <v>300.54253229300002</v>
      </c>
      <c r="G100">
        <v>593.56236288800005</v>
      </c>
      <c r="H100">
        <v>899.73168358700002</v>
      </c>
      <c r="I100" s="2">
        <v>148.55731678387701</v>
      </c>
      <c r="J100" s="2">
        <v>490.93378396595699</v>
      </c>
      <c r="K100" s="2">
        <v>183.136671969882</v>
      </c>
      <c r="L100" s="2">
        <v>482.522197505848</v>
      </c>
      <c r="M100" s="2">
        <v>429.365164604168</v>
      </c>
      <c r="N100" s="2" t="s">
        <v>27</v>
      </c>
      <c r="O100" s="2">
        <v>522.02846032457103</v>
      </c>
      <c r="P100" s="2">
        <v>304.85243274067398</v>
      </c>
      <c r="Q100" s="2">
        <v>115.41055311503099</v>
      </c>
      <c r="S100" s="2">
        <f t="shared" si="6"/>
        <v>371.81971273297052</v>
      </c>
      <c r="T100" s="24">
        <f t="shared" si="7"/>
        <v>0.16969590675028384</v>
      </c>
      <c r="U100" s="2" cm="1">
        <f t="array" ref="U100">SUMPRODUCT(B$2:Q$2, B100:Q100, --ISNUMBER(B100:Q100)) /
 SUMPRODUCT(B$2:Q$2, --ISNUMBER(B100:Q100))</f>
        <v>345.5515792799772</v>
      </c>
      <c r="V100" s="2">
        <f t="shared" si="8"/>
        <v>0.12363266108149897</v>
      </c>
      <c r="W100" s="7">
        <v>16.399685889734801</v>
      </c>
      <c r="X100" s="2">
        <f t="shared" si="9"/>
        <v>0.16399685889734802</v>
      </c>
      <c r="AA100" s="2" cm="1">
        <f t="array" ref="AA100">_xlfn.STDEV.S( _xlfn._xlws.FILTER(B100:Q100, ISNUMBER(B100:Q100)) )</f>
        <v>204.43247217445463</v>
      </c>
      <c r="AB100" s="2" cm="1">
        <f t="array" ref="AB100">_xlfn.STDEV.S(_xlfn._xlws.FILTER(B100:Q100, ISNUMBER(B100:Q100))) /
 AVERAGE(_xlfn._xlws.FILTER(B100:Q100, ISNUMBER(B100:Q100)))</f>
        <v>0.54981612102226474</v>
      </c>
      <c r="AE100" s="2">
        <f t="shared" si="10"/>
        <v>0.12363266108149897</v>
      </c>
    </row>
    <row r="101" spans="1:31" x14ac:dyDescent="0.3">
      <c r="A101" s="2">
        <v>1997</v>
      </c>
      <c r="B101">
        <v>354.07757566800001</v>
      </c>
      <c r="C101" s="2">
        <v>205.82600616385</v>
      </c>
      <c r="D101">
        <v>181.800643291</v>
      </c>
      <c r="E101">
        <v>253.53082282899999</v>
      </c>
      <c r="F101">
        <v>308.02635746700003</v>
      </c>
      <c r="G101">
        <v>684.44619690499997</v>
      </c>
      <c r="H101">
        <v>1013.912354624</v>
      </c>
      <c r="I101" s="2">
        <v>189.857685175694</v>
      </c>
      <c r="J101" s="2">
        <v>611.81061185361602</v>
      </c>
      <c r="K101" s="2" t="s">
        <v>27</v>
      </c>
      <c r="L101" s="2">
        <v>597.42273506425897</v>
      </c>
      <c r="M101" s="2">
        <v>490.61082416248303</v>
      </c>
      <c r="N101" s="2" t="s">
        <v>27</v>
      </c>
      <c r="O101" s="2">
        <v>586.617948452571</v>
      </c>
      <c r="P101" s="2">
        <v>472.71747753707803</v>
      </c>
      <c r="Q101" s="2">
        <v>151.18976208298099</v>
      </c>
      <c r="S101" s="2">
        <f t="shared" si="6"/>
        <v>435.8462143768952</v>
      </c>
      <c r="T101" s="24">
        <f t="shared" si="7"/>
        <v>0.37111485881704481</v>
      </c>
      <c r="U101" s="2" cm="1">
        <f t="array" ref="U101">SUMPRODUCT(B$2:Q$2, B101:Q101, --ISNUMBER(B101:Q101)) /
 SUMPRODUCT(B$2:Q$2, --ISNUMBER(B101:Q101))</f>
        <v>456.208917270276</v>
      </c>
      <c r="V101" s="2">
        <f t="shared" si="8"/>
        <v>0.48345795666636276</v>
      </c>
      <c r="W101" s="7">
        <v>36.4908978190116</v>
      </c>
      <c r="X101" s="2">
        <f t="shared" si="9"/>
        <v>0.36490897819011603</v>
      </c>
      <c r="AA101" s="2" cm="1">
        <f t="array" ref="AA101">_xlfn.STDEV.S( _xlfn._xlws.FILTER(B101:Q101, ISNUMBER(B101:Q101)) )</f>
        <v>247.3512998762339</v>
      </c>
      <c r="AB101" s="2" cm="1">
        <f t="array" ref="AB101">_xlfn.STDEV.S(_xlfn._xlws.FILTER(B101:Q101, ISNUMBER(B101:Q101))) /
 AVERAGE(_xlfn._xlws.FILTER(B101:Q101, ISNUMBER(B101:Q101)))</f>
        <v>0.56751967028062433</v>
      </c>
      <c r="AE101" s="2">
        <f t="shared" si="10"/>
        <v>0.48345795666636276</v>
      </c>
    </row>
    <row r="102" spans="1:31" x14ac:dyDescent="0.3">
      <c r="A102" s="2">
        <v>1998</v>
      </c>
      <c r="B102">
        <v>470.09247220100002</v>
      </c>
      <c r="C102" s="2">
        <v>341.93126564277998</v>
      </c>
      <c r="D102">
        <v>273.475848756</v>
      </c>
      <c r="E102">
        <v>277.21664137900001</v>
      </c>
      <c r="F102">
        <v>367.15465286099999</v>
      </c>
      <c r="G102">
        <v>715.217422027</v>
      </c>
      <c r="H102">
        <v>1186.202272665</v>
      </c>
      <c r="I102" s="2">
        <v>205.45597932458</v>
      </c>
      <c r="J102" s="2">
        <v>420.19721259574402</v>
      </c>
      <c r="K102" s="2" t="s">
        <v>27</v>
      </c>
      <c r="L102" s="2">
        <v>520.42197509545099</v>
      </c>
      <c r="M102" s="2">
        <v>483.87325913401298</v>
      </c>
      <c r="N102" s="2" t="s">
        <v>27</v>
      </c>
      <c r="O102" s="2">
        <v>568.93273146514196</v>
      </c>
      <c r="P102" s="2">
        <v>401.65007279460599</v>
      </c>
      <c r="Q102" s="2">
        <v>153.780696518757</v>
      </c>
      <c r="S102" s="2">
        <f t="shared" si="6"/>
        <v>456.11446446143373</v>
      </c>
      <c r="T102" s="24">
        <f t="shared" ref="T102:T129" si="11">((S102-$V$1)/$V$1)</f>
        <v>0.43487610747870986</v>
      </c>
      <c r="U102" s="2" cm="1">
        <f t="array" ref="U102">SUMPRODUCT(B$2:Q$2, B102:Q102, --ISNUMBER(B102:Q102)) /
 SUMPRODUCT(B$2:Q$2, --ISNUMBER(B102:Q102))</f>
        <v>421.46607958414501</v>
      </c>
      <c r="V102" s="2">
        <f t="shared" si="8"/>
        <v>0.37048441088158152</v>
      </c>
      <c r="W102" s="7">
        <v>42.864467921115498</v>
      </c>
      <c r="X102" s="2">
        <f t="shared" si="9"/>
        <v>0.42864467921115496</v>
      </c>
      <c r="AA102" s="2" cm="1">
        <f t="array" ref="AA102">_xlfn.STDEV.S( _xlfn._xlws.FILTER(B102:Q102, ISNUMBER(B102:Q102)) )</f>
        <v>257.62176379575021</v>
      </c>
      <c r="AB102" s="2" cm="1">
        <f t="array" ref="AB102">_xlfn.STDEV.S(_xlfn._xlws.FILTER(B102:Q102, ISNUMBER(B102:Q102))) /
 AVERAGE(_xlfn._xlws.FILTER(B102:Q102, ISNUMBER(B102:Q102)))</f>
        <v>0.56481822846802776</v>
      </c>
      <c r="AE102" s="2">
        <f t="shared" si="10"/>
        <v>0.37048441088158152</v>
      </c>
    </row>
    <row r="103" spans="1:31" x14ac:dyDescent="0.3">
      <c r="A103" s="2">
        <v>1999</v>
      </c>
      <c r="B103">
        <v>386.05015709399999</v>
      </c>
      <c r="C103" s="2">
        <v>261.18132221261999</v>
      </c>
      <c r="D103">
        <v>131.252940467</v>
      </c>
      <c r="E103">
        <v>232.72985926000001</v>
      </c>
      <c r="F103">
        <v>340.07141570900001</v>
      </c>
      <c r="G103">
        <v>576.79203653499997</v>
      </c>
      <c r="H103">
        <v>810.92990080899995</v>
      </c>
      <c r="I103" s="2">
        <v>213.31862520183199</v>
      </c>
      <c r="J103" s="2">
        <v>522.426885446808</v>
      </c>
      <c r="K103" s="2" t="s">
        <v>27</v>
      </c>
      <c r="L103" s="2">
        <v>565.59522433386201</v>
      </c>
      <c r="M103" s="2">
        <v>461.73477050181799</v>
      </c>
      <c r="N103" s="2" t="s">
        <v>27</v>
      </c>
      <c r="O103" s="2">
        <v>540.57580251428499</v>
      </c>
      <c r="P103" s="2">
        <v>390.33124331865099</v>
      </c>
      <c r="Q103" s="2">
        <v>152.97150438559001</v>
      </c>
      <c r="S103" s="2">
        <f t="shared" si="6"/>
        <v>398.99726341353335</v>
      </c>
      <c r="T103" s="24">
        <f t="shared" si="11"/>
        <v>0.25519290623127411</v>
      </c>
      <c r="U103" s="2" cm="1">
        <f t="array" ref="U103">SUMPRODUCT(B$2:Q$2, B103:Q103, --ISNUMBER(B103:Q103)) /
 SUMPRODUCT(B$2:Q$2, --ISNUMBER(B103:Q103))</f>
        <v>415.40425015519696</v>
      </c>
      <c r="V103" s="2">
        <f t="shared" si="8"/>
        <v>0.35077311467953953</v>
      </c>
      <c r="W103" s="7">
        <v>24.9501578525126</v>
      </c>
      <c r="X103" s="2">
        <f t="shared" si="9"/>
        <v>0.249501578525126</v>
      </c>
      <c r="AA103" s="2" cm="1">
        <f t="array" ref="AA103">_xlfn.STDEV.S( _xlfn._xlws.FILTER(B103:Q103, ISNUMBER(B103:Q103)) )</f>
        <v>193.21471284939162</v>
      </c>
      <c r="AB103" s="2" cm="1">
        <f t="array" ref="AB103">_xlfn.STDEV.S(_xlfn._xlws.FILTER(B103:Q103, ISNUMBER(B103:Q103))) /
 AVERAGE(_xlfn._xlws.FILTER(B103:Q103, ISNUMBER(B103:Q103)))</f>
        <v>0.48425072191319218</v>
      </c>
      <c r="AE103" s="2">
        <f t="shared" si="10"/>
        <v>0.35077311467953953</v>
      </c>
    </row>
    <row r="104" spans="1:31" x14ac:dyDescent="0.3">
      <c r="A104" s="2">
        <v>2000</v>
      </c>
      <c r="B104">
        <v>282.08677843700002</v>
      </c>
      <c r="C104" s="2">
        <v>112.928246389732</v>
      </c>
      <c r="D104">
        <v>72.489712077999997</v>
      </c>
      <c r="E104">
        <v>93.043715749</v>
      </c>
      <c r="F104">
        <v>196.30494406299999</v>
      </c>
      <c r="G104">
        <v>398.91842499199998</v>
      </c>
      <c r="H104">
        <v>594.46449489700001</v>
      </c>
      <c r="I104" s="2">
        <v>110.36091928232</v>
      </c>
      <c r="J104" s="2">
        <v>312.22995357957399</v>
      </c>
      <c r="K104" s="2" t="s">
        <v>27</v>
      </c>
      <c r="L104" s="2">
        <v>319.401236794223</v>
      </c>
      <c r="M104" s="2">
        <v>269.63279563210602</v>
      </c>
      <c r="N104" s="2" t="s">
        <v>27</v>
      </c>
      <c r="O104" s="2">
        <v>320.506694290285</v>
      </c>
      <c r="P104" s="2">
        <v>196.04872401977499</v>
      </c>
      <c r="Q104" s="2">
        <v>50.452179746981301</v>
      </c>
      <c r="S104" s="2">
        <f t="shared" si="6"/>
        <v>237.77634428221407</v>
      </c>
      <c r="T104" s="24">
        <f t="shared" si="11"/>
        <v>-0.25198689820759018</v>
      </c>
      <c r="U104" s="2" cm="1">
        <f t="array" ref="U104">SUMPRODUCT(B$2:Q$2, B104:Q104, --ISNUMBER(B104:Q104)) /
 SUMPRODUCT(B$2:Q$2, --ISNUMBER(B104:Q104))</f>
        <v>234.86098831034207</v>
      </c>
      <c r="V104" s="2">
        <f t="shared" si="8"/>
        <v>-0.23630076346558354</v>
      </c>
      <c r="W104" s="7">
        <v>-25.5668070821215</v>
      </c>
      <c r="X104" s="2">
        <f t="shared" si="9"/>
        <v>-0.25566807082121501</v>
      </c>
      <c r="AA104" s="2" cm="1">
        <f t="array" ref="AA104">_xlfn.STDEV.S( _xlfn._xlws.FILTER(B104:Q104, ISNUMBER(B104:Q104)) )</f>
        <v>150.3488470268851</v>
      </c>
      <c r="AB104" s="2" cm="1">
        <f t="array" ref="AB104">_xlfn.STDEV.S(_xlfn._xlws.FILTER(B104:Q104, ISNUMBER(B104:Q104))) /
 AVERAGE(_xlfn._xlws.FILTER(B104:Q104, ISNUMBER(B104:Q104)))</f>
        <v>0.63231204719186762</v>
      </c>
      <c r="AE104" s="2">
        <f t="shared" si="10"/>
        <v>-0.23630076346558354</v>
      </c>
    </row>
    <row r="105" spans="1:31" x14ac:dyDescent="0.3">
      <c r="A105" s="2">
        <v>2001</v>
      </c>
      <c r="B105">
        <v>204.94611075700001</v>
      </c>
      <c r="C105" s="2">
        <v>112.41276554541101</v>
      </c>
      <c r="D105">
        <v>83.885599782</v>
      </c>
      <c r="E105">
        <v>79.810436847000005</v>
      </c>
      <c r="F105">
        <v>149.59344203200001</v>
      </c>
      <c r="G105">
        <v>336.78902776299998</v>
      </c>
      <c r="H105">
        <v>625.61978749100001</v>
      </c>
      <c r="I105" s="2">
        <v>43.743204688122098</v>
      </c>
      <c r="J105" s="2">
        <v>210.30682515063799</v>
      </c>
      <c r="K105" s="2">
        <v>95.830047698823506</v>
      </c>
      <c r="L105" s="2">
        <v>249.32065294787</v>
      </c>
      <c r="M105" s="2">
        <v>242.557765795476</v>
      </c>
      <c r="N105" s="2" t="s">
        <v>27</v>
      </c>
      <c r="O105" s="2">
        <v>294.54391032685697</v>
      </c>
      <c r="P105" s="2">
        <v>186.07001096629199</v>
      </c>
      <c r="Q105" s="2">
        <v>45.090996937937803</v>
      </c>
      <c r="S105" s="2">
        <f t="shared" si="6"/>
        <v>197.36803898196183</v>
      </c>
      <c r="T105" s="24">
        <f t="shared" si="11"/>
        <v>-0.37910611133646865</v>
      </c>
      <c r="U105" s="2" cm="1">
        <f t="array" ref="U105">SUMPRODUCT(B$2:Q$2, B105:Q105, --ISNUMBER(B105:Q105)) /
 SUMPRODUCT(B$2:Q$2, --ISNUMBER(B105:Q105))</f>
        <v>179.92165151131044</v>
      </c>
      <c r="V105" s="2">
        <f t="shared" si="8"/>
        <v>-0.41494741683692188</v>
      </c>
      <c r="W105" s="7">
        <v>-38.167113527449303</v>
      </c>
      <c r="X105" s="2">
        <f t="shared" si="9"/>
        <v>-0.38167113527449303</v>
      </c>
      <c r="AA105" s="2" cm="1">
        <f t="array" ref="AA105">_xlfn.STDEV.S( _xlfn._xlws.FILTER(B105:Q105, ISNUMBER(B105:Q105)) )</f>
        <v>148.96579373259243</v>
      </c>
      <c r="AB105" s="2" cm="1">
        <f t="array" ref="AB105">_xlfn.STDEV.S(_xlfn._xlws.FILTER(B105:Q105, ISNUMBER(B105:Q105))) /
 AVERAGE(_xlfn._xlws.FILTER(B105:Q105, ISNUMBER(B105:Q105)))</f>
        <v>0.75476148266440923</v>
      </c>
      <c r="AE105" s="2">
        <f t="shared" si="10"/>
        <v>-0.41494741683692188</v>
      </c>
    </row>
    <row r="106" spans="1:31" x14ac:dyDescent="0.3">
      <c r="A106" s="2">
        <v>2002</v>
      </c>
      <c r="B106">
        <v>222.48263562599999</v>
      </c>
      <c r="C106" s="2">
        <v>130.975309249026</v>
      </c>
      <c r="D106">
        <v>105.111501968</v>
      </c>
      <c r="E106">
        <v>100.397106464</v>
      </c>
      <c r="F106">
        <v>167.87786212200001</v>
      </c>
      <c r="G106">
        <v>401.14920842700002</v>
      </c>
      <c r="H106">
        <v>653.36149454099996</v>
      </c>
      <c r="I106" s="2">
        <v>28.795586506845801</v>
      </c>
      <c r="J106" s="2">
        <v>215.37637582978701</v>
      </c>
      <c r="K106" s="2">
        <v>89.439458972611703</v>
      </c>
      <c r="L106" s="2">
        <v>246.216068510036</v>
      </c>
      <c r="M106" s="2">
        <v>204.54531356721901</v>
      </c>
      <c r="N106" s="2" t="s">
        <v>27</v>
      </c>
      <c r="O106" s="2">
        <v>263.72642944731399</v>
      </c>
      <c r="P106" s="2">
        <v>208.90971824035901</v>
      </c>
      <c r="Q106" s="2">
        <v>45.248542467339099</v>
      </c>
      <c r="S106" s="2">
        <f t="shared" si="6"/>
        <v>205.57417412923587</v>
      </c>
      <c r="T106" s="24">
        <f t="shared" si="11"/>
        <v>-0.35329068960572368</v>
      </c>
      <c r="U106" s="2" cm="1">
        <f t="array" ref="U106">SUMPRODUCT(B$2:Q$2, B106:Q106, --ISNUMBER(B106:Q106)) /
 SUMPRODUCT(B$2:Q$2, --ISNUMBER(B106:Q106))</f>
        <v>177.14972564701085</v>
      </c>
      <c r="V106" s="2">
        <f t="shared" si="8"/>
        <v>-0.42396090895208888</v>
      </c>
      <c r="W106" s="7">
        <v>-35.605513879399801</v>
      </c>
      <c r="X106" s="2">
        <f t="shared" si="9"/>
        <v>-0.35605513879399803</v>
      </c>
      <c r="AA106" s="2" cm="1">
        <f t="array" ref="AA106">_xlfn.STDEV.S( _xlfn._xlws.FILTER(B106:Q106, ISNUMBER(B106:Q106)) )</f>
        <v>156.47316207382869</v>
      </c>
      <c r="AB106" s="2" cm="1">
        <f t="array" ref="AB106">_xlfn.STDEV.S(_xlfn._xlws.FILTER(B106:Q106, ISNUMBER(B106:Q106))) /
 AVERAGE(_xlfn._xlws.FILTER(B106:Q106, ISNUMBER(B106:Q106)))</f>
        <v>0.76115184573457451</v>
      </c>
      <c r="AE106" s="2">
        <f t="shared" si="10"/>
        <v>-0.42396090895208888</v>
      </c>
    </row>
    <row r="107" spans="1:31" x14ac:dyDescent="0.3">
      <c r="A107" s="2">
        <v>2003</v>
      </c>
      <c r="B107">
        <v>157.790087234</v>
      </c>
      <c r="C107" s="2">
        <v>61.130271497582797</v>
      </c>
      <c r="D107">
        <v>32.637913312999999</v>
      </c>
      <c r="E107">
        <v>68.191260201000006</v>
      </c>
      <c r="F107">
        <v>122.552609874</v>
      </c>
      <c r="G107">
        <v>369.98424772999999</v>
      </c>
      <c r="H107">
        <v>579.38429980199999</v>
      </c>
      <c r="I107" s="2">
        <v>25.168871060518999</v>
      </c>
      <c r="J107" s="2">
        <v>242.67965128442501</v>
      </c>
      <c r="K107" s="2">
        <v>85.454425714446998</v>
      </c>
      <c r="L107" s="2">
        <v>270.31082340736401</v>
      </c>
      <c r="M107" s="2">
        <v>288.15892955217703</v>
      </c>
      <c r="N107" s="2" t="s">
        <v>27</v>
      </c>
      <c r="O107" s="2">
        <v>341.752255356342</v>
      </c>
      <c r="P107" s="2">
        <v>148.576302422292</v>
      </c>
      <c r="Q107" s="2">
        <v>48.876990384655898</v>
      </c>
      <c r="S107" s="2">
        <f t="shared" si="6"/>
        <v>189.509929255587</v>
      </c>
      <c r="T107" s="24">
        <f t="shared" si="11"/>
        <v>-0.40382669087264927</v>
      </c>
      <c r="U107" s="2" cm="1">
        <f t="array" ref="U107">SUMPRODUCT(B$2:Q$2, B107:Q107, --ISNUMBER(B107:Q107)) /
 SUMPRODUCT(B$2:Q$2, --ISNUMBER(B107:Q107))</f>
        <v>188.98858207649656</v>
      </c>
      <c r="V107" s="2">
        <f t="shared" si="8"/>
        <v>-0.3854644107397433</v>
      </c>
      <c r="W107" s="7">
        <v>-40.624376039576703</v>
      </c>
      <c r="X107" s="2">
        <f t="shared" si="9"/>
        <v>-0.40624376039576704</v>
      </c>
      <c r="AA107" s="2" cm="1">
        <f t="array" ref="AA107">_xlfn.STDEV.S( _xlfn._xlws.FILTER(B107:Q107, ISNUMBER(B107:Q107)) )</f>
        <v>157.53110629039287</v>
      </c>
      <c r="AB107" s="2" cm="1">
        <f t="array" ref="AB107">_xlfn.STDEV.S(_xlfn._xlws.FILTER(B107:Q107, ISNUMBER(B107:Q107))) /
 AVERAGE(_xlfn._xlws.FILTER(B107:Q107, ISNUMBER(B107:Q107)))</f>
        <v>0.83125515855126964</v>
      </c>
      <c r="AE107" s="2">
        <f t="shared" si="10"/>
        <v>-0.3854644107397433</v>
      </c>
    </row>
    <row r="108" spans="1:31" x14ac:dyDescent="0.3">
      <c r="A108" s="2">
        <v>2004</v>
      </c>
      <c r="B108">
        <v>209.920106903</v>
      </c>
      <c r="C108" s="2">
        <v>119.947420830802</v>
      </c>
      <c r="D108">
        <v>76.498812760000007</v>
      </c>
      <c r="E108">
        <v>83.780484032000004</v>
      </c>
      <c r="F108">
        <v>141.57452707600001</v>
      </c>
      <c r="G108">
        <v>371.494144807</v>
      </c>
      <c r="H108">
        <v>671.85803811599999</v>
      </c>
      <c r="I108" s="2">
        <v>17.015811541007601</v>
      </c>
      <c r="J108" s="2">
        <v>265.76707335625503</v>
      </c>
      <c r="K108" s="2">
        <v>75.280645880470502</v>
      </c>
      <c r="L108" s="2">
        <v>249.59887317487301</v>
      </c>
      <c r="M108" s="2">
        <v>245.072689424461</v>
      </c>
      <c r="N108" s="2" t="s">
        <v>27</v>
      </c>
      <c r="O108" s="2">
        <v>274.12668847542801</v>
      </c>
      <c r="P108" s="2">
        <v>174.239875532224</v>
      </c>
      <c r="Q108" s="2">
        <v>40.884033630767597</v>
      </c>
      <c r="S108" s="2">
        <f t="shared" si="6"/>
        <v>201.13728170268593</v>
      </c>
      <c r="T108" s="24">
        <f t="shared" si="11"/>
        <v>-0.36724856954673146</v>
      </c>
      <c r="U108" s="2" cm="1">
        <f t="array" ref="U108">SUMPRODUCT(B$2:Q$2, B108:Q108, --ISNUMBER(B108:Q108)) /
 SUMPRODUCT(B$2:Q$2, --ISNUMBER(B108:Q108))</f>
        <v>179.83290053196652</v>
      </c>
      <c r="V108" s="2">
        <f t="shared" si="8"/>
        <v>-0.4152360090618557</v>
      </c>
      <c r="W108" s="7">
        <v>-37.017761034958703</v>
      </c>
      <c r="X108" s="2">
        <f t="shared" si="9"/>
        <v>-0.37017761034958702</v>
      </c>
      <c r="AA108" s="2" cm="1">
        <f t="array" ref="AA108">_xlfn.STDEV.S( _xlfn._xlws.FILTER(B108:Q108, ISNUMBER(B108:Q108)) )</f>
        <v>164.76216677202416</v>
      </c>
      <c r="AB108" s="2" cm="1">
        <f t="array" ref="AB108">_xlfn.STDEV.S(_xlfn._xlws.FILTER(B108:Q108, ISNUMBER(B108:Q108))) /
 AVERAGE(_xlfn._xlws.FILTER(B108:Q108, ISNUMBER(B108:Q108)))</f>
        <v>0.81915279642473149</v>
      </c>
      <c r="AE108" s="2">
        <f t="shared" si="10"/>
        <v>-0.4152360090618557</v>
      </c>
    </row>
    <row r="109" spans="1:31" x14ac:dyDescent="0.3">
      <c r="A109" s="2">
        <v>2005</v>
      </c>
      <c r="B109">
        <v>354.74618748199998</v>
      </c>
      <c r="C109" s="2">
        <v>216.54120442524001</v>
      </c>
      <c r="D109">
        <v>177.54224890099999</v>
      </c>
      <c r="E109">
        <v>200.48556859999999</v>
      </c>
      <c r="F109">
        <v>257.20900312200001</v>
      </c>
      <c r="G109">
        <v>599.81228988600003</v>
      </c>
      <c r="H109">
        <v>1064.824628542</v>
      </c>
      <c r="I109" s="2">
        <v>62.465266412848798</v>
      </c>
      <c r="J109" s="2">
        <v>438.50716876799999</v>
      </c>
      <c r="K109" s="2">
        <v>160.65267970108201</v>
      </c>
      <c r="L109" s="2">
        <v>454.96073025617301</v>
      </c>
      <c r="M109" s="2">
        <v>452.56473835678901</v>
      </c>
      <c r="N109" s="2" t="s">
        <v>27</v>
      </c>
      <c r="O109" s="2">
        <v>515.84970220251398</v>
      </c>
      <c r="P109" s="2">
        <v>345.85449735478602</v>
      </c>
      <c r="Q109" s="2">
        <v>114.202957324561</v>
      </c>
      <c r="S109" s="2">
        <f t="shared" si="6"/>
        <v>361.08125808899962</v>
      </c>
      <c r="T109" s="24">
        <f t="shared" si="11"/>
        <v>0.13591414098657065</v>
      </c>
      <c r="U109" s="2" cm="1">
        <f t="array" ref="U109">SUMPRODUCT(B$2:Q$2, B109:Q109, --ISNUMBER(B109:Q109)) /
 SUMPRODUCT(B$2:Q$2, --ISNUMBER(B109:Q109))</f>
        <v>335.29973341341048</v>
      </c>
      <c r="V109" s="2">
        <f t="shared" si="8"/>
        <v>9.0296657015042608E-2</v>
      </c>
      <c r="W109" s="7">
        <v>13.1067274315617</v>
      </c>
      <c r="X109" s="2">
        <f t="shared" si="9"/>
        <v>0.13106727431561699</v>
      </c>
      <c r="AA109" s="2" cm="1">
        <f t="array" ref="AA109">_xlfn.STDEV.S( _xlfn._xlws.FILTER(B109:Q109, ISNUMBER(B109:Q109)) )</f>
        <v>250.87001279894895</v>
      </c>
      <c r="AB109" s="2" cm="1">
        <f t="array" ref="AB109">_xlfn.STDEV.S(_xlfn._xlws.FILTER(B109:Q109, ISNUMBER(B109:Q109))) /
 AVERAGE(_xlfn._xlws.FILTER(B109:Q109, ISNUMBER(B109:Q109)))</f>
        <v>0.69477439545509256</v>
      </c>
      <c r="AE109" s="2">
        <f t="shared" si="10"/>
        <v>9.0296657015042608E-2</v>
      </c>
    </row>
    <row r="110" spans="1:31" x14ac:dyDescent="0.3">
      <c r="A110" s="2">
        <v>2006</v>
      </c>
      <c r="B110">
        <v>408.77802921199998</v>
      </c>
      <c r="C110" s="2">
        <v>304.66880389886597</v>
      </c>
      <c r="D110">
        <v>297.19759136599998</v>
      </c>
      <c r="E110">
        <v>277.08903789800002</v>
      </c>
      <c r="F110">
        <v>283.50682988199998</v>
      </c>
      <c r="G110">
        <v>534.07749859900002</v>
      </c>
      <c r="H110">
        <v>1038.6108307669999</v>
      </c>
      <c r="I110" s="2">
        <v>90.014595533972496</v>
      </c>
      <c r="J110" s="2">
        <v>379.177520215149</v>
      </c>
      <c r="K110" s="2">
        <v>197.749180163011</v>
      </c>
      <c r="L110" s="2">
        <v>528.39320540880794</v>
      </c>
      <c r="M110" s="2">
        <v>373.04302680095702</v>
      </c>
      <c r="N110" s="2" t="s">
        <v>27</v>
      </c>
      <c r="O110" s="2">
        <v>462.72007157759998</v>
      </c>
      <c r="P110" s="2">
        <v>354.48622159388702</v>
      </c>
      <c r="Q110" s="2">
        <v>86.729402784119202</v>
      </c>
      <c r="S110" s="2">
        <f t="shared" si="6"/>
        <v>374.41612304669127</v>
      </c>
      <c r="T110" s="24">
        <f t="shared" si="11"/>
        <v>0.17786387206304408</v>
      </c>
      <c r="U110" s="2" cm="1">
        <f t="array" ref="U110">SUMPRODUCT(B$2:Q$2, B110:Q110, --ISNUMBER(B110:Q110)) /
 SUMPRODUCT(B$2:Q$2, --ISNUMBER(B110:Q110))</f>
        <v>331.18219993276449</v>
      </c>
      <c r="V110" s="2">
        <f t="shared" si="8"/>
        <v>7.6907642525249759E-2</v>
      </c>
      <c r="W110" s="7">
        <v>17.279759833122299</v>
      </c>
      <c r="X110" s="2">
        <f t="shared" si="9"/>
        <v>0.17279759833122299</v>
      </c>
      <c r="AA110" s="2" cm="1">
        <f t="array" ref="AA110">_xlfn.STDEV.S( _xlfn._xlws.FILTER(B110:Q110, ISNUMBER(B110:Q110)) )</f>
        <v>227.27876676556937</v>
      </c>
      <c r="AB110" s="2" cm="1">
        <f t="array" ref="AB110">_xlfn.STDEV.S(_xlfn._xlws.FILTER(B110:Q110, ISNUMBER(B110:Q110))) /
 AVERAGE(_xlfn._xlws.FILTER(B110:Q110, ISNUMBER(B110:Q110)))</f>
        <v>0.60702184755336175</v>
      </c>
      <c r="AE110" s="2">
        <f t="shared" si="10"/>
        <v>7.6907642525249759E-2</v>
      </c>
    </row>
    <row r="111" spans="1:31" x14ac:dyDescent="0.3">
      <c r="A111" s="2">
        <v>2007</v>
      </c>
      <c r="B111">
        <v>232.33904680399999</v>
      </c>
      <c r="C111" s="2">
        <v>84.001136065026699</v>
      </c>
      <c r="D111">
        <v>57.400300510999998</v>
      </c>
      <c r="E111">
        <v>92.537204380000006</v>
      </c>
      <c r="F111">
        <v>166.03258929</v>
      </c>
      <c r="G111">
        <v>348.15617030200002</v>
      </c>
      <c r="H111">
        <v>623.16318291699997</v>
      </c>
      <c r="I111" s="2">
        <v>48.637468295230498</v>
      </c>
      <c r="J111" s="2">
        <v>240.78138941004201</v>
      </c>
      <c r="K111" s="2">
        <v>108.52163745882299</v>
      </c>
      <c r="L111" s="2">
        <v>303.09664825299598</v>
      </c>
      <c r="M111" s="2">
        <v>286.69478397956499</v>
      </c>
      <c r="N111" s="2" t="s">
        <v>27</v>
      </c>
      <c r="O111" s="2">
        <v>322.47560184685699</v>
      </c>
      <c r="P111" s="2">
        <v>167.18124180134799</v>
      </c>
      <c r="Q111" s="2">
        <v>70.343983902052102</v>
      </c>
      <c r="S111" s="2">
        <f t="shared" si="6"/>
        <v>210.09082568106265</v>
      </c>
      <c r="T111" s="24">
        <f t="shared" si="11"/>
        <v>-0.33908189794818377</v>
      </c>
      <c r="U111" s="2" cm="1">
        <f t="array" ref="U111">SUMPRODUCT(B$2:Q$2, B111:Q111, --ISNUMBER(B111:Q111)) /
 SUMPRODUCT(B$2:Q$2, --ISNUMBER(B111:Q111))</f>
        <v>203.12237873900895</v>
      </c>
      <c r="V111" s="2">
        <f t="shared" si="8"/>
        <v>-0.33950543816559065</v>
      </c>
      <c r="W111" s="7">
        <v>-34.193040939805599</v>
      </c>
      <c r="X111" s="2">
        <f t="shared" si="9"/>
        <v>-0.34193040939805597</v>
      </c>
      <c r="AA111" s="2" cm="1">
        <f t="array" ref="AA111">_xlfn.STDEV.S( _xlfn._xlws.FILTER(B111:Q111, ISNUMBER(B111:Q111)) )</f>
        <v>153.76307848632592</v>
      </c>
      <c r="AB111" s="2" cm="1">
        <f t="array" ref="AB111">_xlfn.STDEV.S(_xlfn._xlws.FILTER(B111:Q111, ISNUMBER(B111:Q111))) /
 AVERAGE(_xlfn._xlws.FILTER(B111:Q111, ISNUMBER(B111:Q111)))</f>
        <v>0.73188859145973617</v>
      </c>
      <c r="AE111" s="2">
        <f t="shared" si="10"/>
        <v>-0.33950543816559065</v>
      </c>
    </row>
    <row r="112" spans="1:31" x14ac:dyDescent="0.3">
      <c r="A112" s="2">
        <v>2008</v>
      </c>
      <c r="B112">
        <v>259.49667991299998</v>
      </c>
      <c r="C112" s="2">
        <v>135.657811639443</v>
      </c>
      <c r="D112">
        <v>69.287422003000003</v>
      </c>
      <c r="E112">
        <v>151.67751207200001</v>
      </c>
      <c r="F112">
        <v>218.340107477</v>
      </c>
      <c r="G112">
        <v>457.11431519199999</v>
      </c>
      <c r="H112">
        <v>730.11451775900002</v>
      </c>
      <c r="I112" s="2">
        <v>54.405961008073199</v>
      </c>
      <c r="J112" s="2">
        <v>327.99269911965899</v>
      </c>
      <c r="K112" s="2">
        <v>121.169332847435</v>
      </c>
      <c r="L112" s="2">
        <v>328.81656257155203</v>
      </c>
      <c r="M112" s="2">
        <v>393.15916097050098</v>
      </c>
      <c r="N112" s="2" t="s">
        <v>27</v>
      </c>
      <c r="O112" s="2">
        <v>468.83009269028503</v>
      </c>
      <c r="P112" s="2">
        <v>253.807054589123</v>
      </c>
      <c r="Q112" s="2">
        <v>94.972259343264497</v>
      </c>
      <c r="S112" s="2">
        <f t="shared" si="6"/>
        <v>270.9894326130223</v>
      </c>
      <c r="T112" s="24">
        <f t="shared" si="11"/>
        <v>-0.14750289119911209</v>
      </c>
      <c r="U112" s="2" cm="1">
        <f t="array" ref="U112">SUMPRODUCT(B$2:Q$2, B112:Q112, --ISNUMBER(B112:Q112)) /
 SUMPRODUCT(B$2:Q$2, --ISNUMBER(B112:Q112))</f>
        <v>263.66654388692604</v>
      </c>
      <c r="V112" s="2">
        <f t="shared" si="8"/>
        <v>-0.14263352243056754</v>
      </c>
      <c r="W112" s="7">
        <v>-15.150669076992999</v>
      </c>
      <c r="X112" s="2">
        <f t="shared" si="9"/>
        <v>-0.15150669076992998</v>
      </c>
      <c r="AA112" s="2" cm="1">
        <f t="array" ref="AA112">_xlfn.STDEV.S( _xlfn._xlws.FILTER(B112:Q112, ISNUMBER(B112:Q112)) )</f>
        <v>185.71627633781304</v>
      </c>
      <c r="AB112" s="2" cm="1">
        <f t="array" ref="AB112">_xlfn.STDEV.S(_xlfn._xlws.FILTER(B112:Q112, ISNUMBER(B112:Q112))) /
 AVERAGE(_xlfn._xlws.FILTER(B112:Q112, ISNUMBER(B112:Q112)))</f>
        <v>0.68532663634533364</v>
      </c>
      <c r="AE112" s="2">
        <f t="shared" si="10"/>
        <v>-0.14263352243056754</v>
      </c>
    </row>
    <row r="113" spans="1:31" x14ac:dyDescent="0.3">
      <c r="A113" s="2">
        <v>2009</v>
      </c>
      <c r="B113">
        <v>363.09850339000002</v>
      </c>
      <c r="C113" s="2">
        <v>215.30876037612799</v>
      </c>
      <c r="D113">
        <v>160.23153346199999</v>
      </c>
      <c r="E113">
        <v>174.21177732699999</v>
      </c>
      <c r="F113">
        <v>261.09671017900001</v>
      </c>
      <c r="G113">
        <v>588.70942743199998</v>
      </c>
      <c r="H113">
        <v>938.094846695</v>
      </c>
      <c r="I113" s="2">
        <v>46.437608300262497</v>
      </c>
      <c r="J113" s="2">
        <v>463.06253375182899</v>
      </c>
      <c r="K113" s="2">
        <v>142.948136854588</v>
      </c>
      <c r="L113" s="2">
        <v>418.081093498916</v>
      </c>
      <c r="M113" s="2">
        <v>416.03704582925002</v>
      </c>
      <c r="N113" s="2" t="s">
        <v>27</v>
      </c>
      <c r="O113" s="2">
        <v>501.37706662765697</v>
      </c>
      <c r="P113" s="2">
        <v>274.330078550292</v>
      </c>
      <c r="Q113" s="2">
        <v>113.63526915339099</v>
      </c>
      <c r="S113" s="2">
        <f t="shared" si="6"/>
        <v>338.44402609515424</v>
      </c>
      <c r="T113" s="24">
        <f t="shared" si="11"/>
        <v>6.4700386856289566E-2</v>
      </c>
      <c r="U113" s="2" cm="1">
        <f t="array" ref="U113">SUMPRODUCT(B$2:Q$2, B113:Q113, --ISNUMBER(B113:Q113)) /
 SUMPRODUCT(B$2:Q$2, --ISNUMBER(B113:Q113))</f>
        <v>314.45969192334724</v>
      </c>
      <c r="V113" s="2">
        <f t="shared" si="8"/>
        <v>2.2530937855774195E-2</v>
      </c>
      <c r="W113" s="7">
        <v>6.0107495754530902</v>
      </c>
      <c r="X113" s="2">
        <f t="shared" si="9"/>
        <v>6.01074957545309E-2</v>
      </c>
      <c r="AA113" s="2" cm="1">
        <f t="array" ref="AA113">_xlfn.STDEV.S( _xlfn._xlws.FILTER(B113:Q113, ISNUMBER(B113:Q113)) )</f>
        <v>229.17152023053751</v>
      </c>
      <c r="AB113" s="2" cm="1">
        <f t="array" ref="AB113">_xlfn.STDEV.S(_xlfn._xlws.FILTER(B113:Q113, ISNUMBER(B113:Q113))) /
 AVERAGE(_xlfn._xlws.FILTER(B113:Q113, ISNUMBER(B113:Q113)))</f>
        <v>0.67713270898776468</v>
      </c>
      <c r="AE113" s="2">
        <f t="shared" si="10"/>
        <v>2.2530937855774195E-2</v>
      </c>
    </row>
    <row r="114" spans="1:31" x14ac:dyDescent="0.3">
      <c r="A114" s="2">
        <v>2010</v>
      </c>
      <c r="B114">
        <v>277.58885406899998</v>
      </c>
      <c r="C114" s="2">
        <v>150.17631653647001</v>
      </c>
      <c r="D114">
        <v>101.80504667300001</v>
      </c>
      <c r="E114">
        <v>125.48231582699999</v>
      </c>
      <c r="F114">
        <v>207.04552062799999</v>
      </c>
      <c r="G114">
        <v>420.35190137500001</v>
      </c>
      <c r="H114">
        <v>710.53255074100002</v>
      </c>
      <c r="I114" s="2">
        <v>41.944134195590799</v>
      </c>
      <c r="J114" s="2">
        <v>318.98202826621201</v>
      </c>
      <c r="K114" s="2">
        <v>104.849261649317</v>
      </c>
      <c r="L114" s="2">
        <v>320.01067157718398</v>
      </c>
      <c r="M114" s="2">
        <v>348.04459913252299</v>
      </c>
      <c r="N114" s="2" t="s">
        <v>27</v>
      </c>
      <c r="O114" s="2">
        <v>401.39209629257101</v>
      </c>
      <c r="P114" s="2">
        <v>177.55236843289799</v>
      </c>
      <c r="Q114" s="2">
        <v>92.922077997793807</v>
      </c>
      <c r="S114" s="2">
        <f t="shared" si="6"/>
        <v>253.24531622623729</v>
      </c>
      <c r="T114" s="24">
        <f t="shared" si="11"/>
        <v>-0.20332354727451715</v>
      </c>
      <c r="U114" s="2" cm="1">
        <f t="array" ref="U114">SUMPRODUCT(B$2:Q$2, B114:Q114, --ISNUMBER(B114:Q114)) /
 SUMPRODUCT(B$2:Q$2, --ISNUMBER(B114:Q114))</f>
        <v>238.15042243051974</v>
      </c>
      <c r="V114" s="2">
        <f t="shared" si="8"/>
        <v>-0.22560448587481377</v>
      </c>
      <c r="W114" s="7">
        <v>-20.670593130838402</v>
      </c>
      <c r="X114" s="2">
        <f t="shared" si="9"/>
        <v>-0.20670593130838402</v>
      </c>
      <c r="AA114" s="2" cm="1">
        <f t="array" ref="AA114">_xlfn.STDEV.S( _xlfn._xlws.FILTER(B114:Q114, ISNUMBER(B114:Q114)) )</f>
        <v>174.73650670989093</v>
      </c>
      <c r="AB114" s="2" cm="1">
        <f t="array" ref="AB114">_xlfn.STDEV.S(_xlfn._xlws.FILTER(B114:Q114, ISNUMBER(B114:Q114))) /
 AVERAGE(_xlfn._xlws.FILTER(B114:Q114, ISNUMBER(B114:Q114)))</f>
        <v>0.68998909560795063</v>
      </c>
      <c r="AE114" s="2">
        <f t="shared" si="10"/>
        <v>-0.22560448587481377</v>
      </c>
    </row>
    <row r="115" spans="1:31" x14ac:dyDescent="0.3">
      <c r="A115" s="2">
        <v>2011</v>
      </c>
      <c r="B115">
        <v>603.91129545499996</v>
      </c>
      <c r="C115" s="2">
        <v>456.22933041830998</v>
      </c>
      <c r="D115">
        <v>350.43744675300002</v>
      </c>
      <c r="E115">
        <v>414.10549164999998</v>
      </c>
      <c r="F115">
        <v>405.638712312</v>
      </c>
      <c r="G115">
        <v>872.88976833900006</v>
      </c>
      <c r="H115">
        <v>1231.4116367219999</v>
      </c>
      <c r="I115" s="2">
        <v>225.59200997891901</v>
      </c>
      <c r="J115" s="2">
        <v>611.29064310740398</v>
      </c>
      <c r="K115" s="2">
        <v>314.11603703265803</v>
      </c>
      <c r="L115" s="2">
        <v>680.47368092187696</v>
      </c>
      <c r="M115" s="2">
        <v>724.95114752227005</v>
      </c>
      <c r="N115" s="2" t="s">
        <v>27</v>
      </c>
      <c r="O115" s="2">
        <v>779.24817456274195</v>
      </c>
      <c r="P115" s="2">
        <v>571.18373434678597</v>
      </c>
      <c r="Q115" s="2">
        <v>266.75873450295597</v>
      </c>
      <c r="S115" s="2">
        <f t="shared" si="6"/>
        <v>567.21585624166141</v>
      </c>
      <c r="T115" s="24">
        <f t="shared" si="11"/>
        <v>0.78438647163985242</v>
      </c>
      <c r="U115" s="2" cm="1">
        <f t="array" ref="U115">SUMPRODUCT(B$2:Q$2, B115:Q115, --ISNUMBER(B115:Q115)) /
 SUMPRODUCT(B$2:Q$2, --ISNUMBER(B115:Q115))</f>
        <v>538.08679891179452</v>
      </c>
      <c r="V115" s="2">
        <f t="shared" si="8"/>
        <v>0.74970087827093601</v>
      </c>
      <c r="W115" s="7">
        <v>77.624219648366903</v>
      </c>
      <c r="X115" s="2">
        <f t="shared" si="9"/>
        <v>0.77624219648366899</v>
      </c>
      <c r="AA115" s="2" cm="1">
        <f t="array" ref="AA115">_xlfn.STDEV.S( _xlfn._xlws.FILTER(B115:Q115, ISNUMBER(B115:Q115)) )</f>
        <v>267.3233221908518</v>
      </c>
      <c r="AB115" s="2" cm="1">
        <f t="array" ref="AB115">_xlfn.STDEV.S(_xlfn._xlws.FILTER(B115:Q115, ISNUMBER(B115:Q115))) /
 AVERAGE(_xlfn._xlws.FILTER(B115:Q115, ISNUMBER(B115:Q115)))</f>
        <v>0.47129028437625187</v>
      </c>
      <c r="AE115" s="2">
        <f t="shared" si="10"/>
        <v>0.74970087827093601</v>
      </c>
    </row>
    <row r="116" spans="1:31" x14ac:dyDescent="0.3">
      <c r="A116" s="2">
        <v>2012</v>
      </c>
      <c r="B116">
        <v>213.01940400300001</v>
      </c>
      <c r="C116" s="2">
        <v>115.36565962061999</v>
      </c>
      <c r="D116">
        <v>43.773734670000003</v>
      </c>
      <c r="E116">
        <v>67.767609410000006</v>
      </c>
      <c r="F116">
        <v>189.74245321199999</v>
      </c>
      <c r="G116">
        <v>412.84918062600002</v>
      </c>
      <c r="H116">
        <v>582.92881446399997</v>
      </c>
      <c r="I116" s="2">
        <v>122.48582891754501</v>
      </c>
      <c r="J116" s="2">
        <v>299.09654944136099</v>
      </c>
      <c r="K116" s="2">
        <v>150.26302590945801</v>
      </c>
      <c r="L116" s="2">
        <v>356.32945168635302</v>
      </c>
      <c r="M116" s="2">
        <v>248.06879020161401</v>
      </c>
      <c r="N116" s="2" t="s">
        <v>27</v>
      </c>
      <c r="O116" s="2">
        <v>279.06759791177097</v>
      </c>
      <c r="P116" s="2">
        <v>171.49572944251599</v>
      </c>
      <c r="Q116" s="2">
        <v>55.350299508551501</v>
      </c>
      <c r="S116" s="2">
        <f t="shared" si="6"/>
        <v>220.50694193498595</v>
      </c>
      <c r="T116" s="24">
        <f t="shared" si="11"/>
        <v>-0.30631416635887149</v>
      </c>
      <c r="U116" s="2" cm="1">
        <f t="array" ref="U116">SUMPRODUCT(B$2:Q$2, B116:Q116, --ISNUMBER(B116:Q116)) /
 SUMPRODUCT(B$2:Q$2, --ISNUMBER(B116:Q116))</f>
        <v>215.39577033168993</v>
      </c>
      <c r="V116" s="2">
        <f t="shared" si="8"/>
        <v>-0.29959595870520106</v>
      </c>
      <c r="W116" s="7">
        <v>-30.997303152995901</v>
      </c>
      <c r="X116" s="2">
        <f t="shared" si="9"/>
        <v>-0.30997303152995903</v>
      </c>
      <c r="AA116" s="2" cm="1">
        <f t="array" ref="AA116">_xlfn.STDEV.S( _xlfn._xlws.FILTER(B116:Q116, ISNUMBER(B116:Q116)) )</f>
        <v>148.32409862350141</v>
      </c>
      <c r="AB116" s="2" cm="1">
        <f t="array" ref="AB116">_xlfn.STDEV.S(_xlfn._xlws.FILTER(B116:Q116, ISNUMBER(B116:Q116))) /
 AVERAGE(_xlfn._xlws.FILTER(B116:Q116, ISNUMBER(B116:Q116)))</f>
        <v>0.67265047223426255</v>
      </c>
      <c r="AE116" s="2">
        <f t="shared" si="10"/>
        <v>-0.29959595870520106</v>
      </c>
    </row>
    <row r="117" spans="1:31" x14ac:dyDescent="0.3">
      <c r="A117" s="2">
        <v>2013</v>
      </c>
      <c r="B117">
        <v>185.27594392399999</v>
      </c>
      <c r="C117" s="2">
        <v>81.2235578099679</v>
      </c>
      <c r="D117">
        <v>36.588594074</v>
      </c>
      <c r="E117">
        <v>77.944304107999997</v>
      </c>
      <c r="F117">
        <v>135.22157554</v>
      </c>
      <c r="G117">
        <v>374.795934676</v>
      </c>
      <c r="H117">
        <v>556.96506330700004</v>
      </c>
      <c r="I117" s="2">
        <v>35.119880505453402</v>
      </c>
      <c r="J117" s="2">
        <v>254.37113986723401</v>
      </c>
      <c r="K117" s="2">
        <v>90.6897289773176</v>
      </c>
      <c r="L117" s="2">
        <v>237.70164632490901</v>
      </c>
      <c r="M117" s="2">
        <v>276.39314469690402</v>
      </c>
      <c r="N117" s="2" t="s">
        <v>27</v>
      </c>
      <c r="O117" s="2">
        <v>263.37750174719997</v>
      </c>
      <c r="P117" s="2">
        <v>132.23512893842599</v>
      </c>
      <c r="Q117" s="2">
        <v>37.966952976059602</v>
      </c>
      <c r="S117" s="2">
        <f t="shared" ref="S117:S127" si="12">AVERAGEIF(B117:Q117, "&lt;&gt;NA")</f>
        <v>185.05800649816473</v>
      </c>
      <c r="T117" s="24">
        <f t="shared" si="11"/>
        <v>-0.41783185425747782</v>
      </c>
      <c r="U117" s="2" cm="1">
        <f t="array" ref="U117">SUMPRODUCT(B$2:Q$2, B117:Q117, --ISNUMBER(B117:Q117)) /
 SUMPRODUCT(B$2:Q$2, --ISNUMBER(B117:Q117))</f>
        <v>175.42560482214191</v>
      </c>
      <c r="V117" s="2">
        <f t="shared" si="8"/>
        <v>-0.42956724556473064</v>
      </c>
      <c r="W117" s="7">
        <v>-42.011363100980901</v>
      </c>
      <c r="X117" s="2">
        <f t="shared" si="9"/>
        <v>-0.42011363100980903</v>
      </c>
      <c r="AA117" s="2" cm="1">
        <f t="array" ref="AA117">_xlfn.STDEV.S( _xlfn._xlws.FILTER(B117:Q117, ISNUMBER(B117:Q117)) )</f>
        <v>146.13147797357232</v>
      </c>
      <c r="AB117" s="2" cm="1">
        <f t="array" ref="AB117">_xlfn.STDEV.S(_xlfn._xlws.FILTER(B117:Q117, ISNUMBER(B117:Q117))) /
 AVERAGE(_xlfn._xlws.FILTER(B117:Q117, ISNUMBER(B117:Q117)))</f>
        <v>0.78965228653871589</v>
      </c>
      <c r="AE117" s="2">
        <f t="shared" si="10"/>
        <v>-0.42956724556473064</v>
      </c>
    </row>
    <row r="118" spans="1:31" x14ac:dyDescent="0.3">
      <c r="A118" s="2">
        <v>2014</v>
      </c>
      <c r="B118">
        <v>188.60032635100001</v>
      </c>
      <c r="C118" s="2">
        <v>69.565055770010702</v>
      </c>
      <c r="D118">
        <v>22.303077798</v>
      </c>
      <c r="E118">
        <v>96.595648306000001</v>
      </c>
      <c r="F118">
        <v>119.808544744</v>
      </c>
      <c r="G118">
        <v>347.50004402600001</v>
      </c>
      <c r="H118">
        <v>622.80745360000003</v>
      </c>
      <c r="I118" s="2">
        <v>46.305754903841198</v>
      </c>
      <c r="J118" s="2">
        <v>414.35262507574402</v>
      </c>
      <c r="K118" s="2">
        <v>107.300870228329</v>
      </c>
      <c r="L118" s="2">
        <v>310.29946079653399</v>
      </c>
      <c r="M118" s="2">
        <v>367.12460212618998</v>
      </c>
      <c r="N118" s="2" t="s">
        <v>27</v>
      </c>
      <c r="O118" s="2">
        <v>376.16677888731402</v>
      </c>
      <c r="P118" s="2">
        <v>204.68250997644901</v>
      </c>
      <c r="Q118" s="2">
        <v>55.764887008516702</v>
      </c>
      <c r="S118" s="2">
        <f t="shared" si="12"/>
        <v>223.2785093065286</v>
      </c>
      <c r="T118" s="24">
        <f t="shared" si="11"/>
        <v>-0.29759517998252433</v>
      </c>
      <c r="U118" s="2" cm="1">
        <f t="array" ref="U118">SUMPRODUCT(B$2:Q$2, B118:Q118, --ISNUMBER(B118:Q118)) /
 SUMPRODUCT(B$2:Q$2, --ISNUMBER(B118:Q118))</f>
        <v>235.08200058156675</v>
      </c>
      <c r="V118" s="2">
        <f t="shared" si="8"/>
        <v>-0.23558209620622586</v>
      </c>
      <c r="W118" s="7">
        <v>-30.043941084147701</v>
      </c>
      <c r="X118" s="2">
        <f t="shared" si="9"/>
        <v>-0.30043941084147702</v>
      </c>
      <c r="AA118" s="2" cm="1">
        <f t="array" ref="AA118">_xlfn.STDEV.S( _xlfn._xlws.FILTER(B118:Q118, ISNUMBER(B118:Q118)) )</f>
        <v>174.91952284633263</v>
      </c>
      <c r="AB118" s="2" cm="1">
        <f t="array" ref="AB118">_xlfn.STDEV.S(_xlfn._xlws.FILTER(B118:Q118, ISNUMBER(B118:Q118))) /
 AVERAGE(_xlfn._xlws.FILTER(B118:Q118, ISNUMBER(B118:Q118)))</f>
        <v>0.78341405713253753</v>
      </c>
      <c r="AE118" s="2">
        <f t="shared" si="10"/>
        <v>-0.23558209620622586</v>
      </c>
    </row>
    <row r="119" spans="1:31" x14ac:dyDescent="0.3">
      <c r="A119" s="2">
        <v>2015</v>
      </c>
      <c r="B119">
        <v>188.23406450424699</v>
      </c>
      <c r="C119" s="2">
        <v>76.849820595336894</v>
      </c>
      <c r="D119">
        <v>35.473201300951999</v>
      </c>
      <c r="E119">
        <v>64.347020755394993</v>
      </c>
      <c r="F119">
        <v>103.828579796124</v>
      </c>
      <c r="G119">
        <v>209.32074723471101</v>
      </c>
      <c r="H119">
        <v>486.29877368113102</v>
      </c>
      <c r="I119" s="2">
        <v>46.946159006290003</v>
      </c>
      <c r="J119" s="2">
        <v>397.855329693957</v>
      </c>
      <c r="K119" s="2">
        <v>80.628203601317594</v>
      </c>
      <c r="L119" s="2">
        <v>283.29443400086598</v>
      </c>
      <c r="M119" s="2">
        <v>305.89901421892603</v>
      </c>
      <c r="N119" s="2" t="s">
        <v>27</v>
      </c>
      <c r="O119" s="2">
        <v>335.69291322514198</v>
      </c>
      <c r="P119" s="2">
        <v>140.89159378840401</v>
      </c>
      <c r="Q119" s="2">
        <v>45.427742434106797</v>
      </c>
      <c r="S119" s="2">
        <f t="shared" si="12"/>
        <v>186.73250652246043</v>
      </c>
      <c r="T119" s="24">
        <f t="shared" si="11"/>
        <v>-0.41256409744631978</v>
      </c>
      <c r="U119" s="2" cm="1">
        <f t="array" ref="U119">SUMPRODUCT(B$2:Q$2, B119:Q119, --ISNUMBER(B119:Q119)) /
 SUMPRODUCT(B$2:Q$2, --ISNUMBER(B119:Q119))</f>
        <v>200.01197818320654</v>
      </c>
      <c r="V119" s="2">
        <f t="shared" si="8"/>
        <v>-0.34961955097279596</v>
      </c>
      <c r="W119" s="7">
        <v>-41.396954116280398</v>
      </c>
      <c r="X119" s="2">
        <f t="shared" si="9"/>
        <v>-0.41396954116280399</v>
      </c>
      <c r="AA119" s="2" cm="1">
        <f t="array" ref="AA119">_xlfn.STDEV.S( _xlfn._xlws.FILTER(B119:Q119, ISNUMBER(B119:Q119)) )</f>
        <v>143.97692406832414</v>
      </c>
      <c r="AB119" s="2" cm="1">
        <f t="array" ref="AB119">_xlfn.STDEV.S(_xlfn._xlws.FILTER(B119:Q119, ISNUMBER(B119:Q119))) /
 AVERAGE(_xlfn._xlws.FILTER(B119:Q119, ISNUMBER(B119:Q119)))</f>
        <v>0.77103299660900981</v>
      </c>
      <c r="AE119" s="2">
        <f t="shared" si="10"/>
        <v>-0.34961955097279596</v>
      </c>
    </row>
    <row r="120" spans="1:31" x14ac:dyDescent="0.3">
      <c r="A120" s="2">
        <v>2016</v>
      </c>
      <c r="B120">
        <v>196.86429841638301</v>
      </c>
      <c r="C120" s="2">
        <v>81.780905118802096</v>
      </c>
      <c r="D120">
        <v>41.6651258602691</v>
      </c>
      <c r="E120">
        <v>80.581404118469393</v>
      </c>
      <c r="F120">
        <v>112.499207266312</v>
      </c>
      <c r="G120">
        <v>319.69500332237902</v>
      </c>
      <c r="H120">
        <v>598.34488566322898</v>
      </c>
      <c r="I120" s="2">
        <v>52.582424800341897</v>
      </c>
      <c r="J120" s="2">
        <v>359.196029363744</v>
      </c>
      <c r="K120" s="2">
        <v>110.649075311435</v>
      </c>
      <c r="L120" s="2">
        <v>332.13312432519803</v>
      </c>
      <c r="M120" s="2">
        <v>376.473109222456</v>
      </c>
      <c r="N120" s="2" t="s">
        <v>27</v>
      </c>
      <c r="O120" s="2">
        <v>382.75621151451401</v>
      </c>
      <c r="P120" s="2">
        <v>260.26091783190998</v>
      </c>
      <c r="Q120" s="2">
        <v>64.521447606380093</v>
      </c>
      <c r="S120" s="2">
        <f t="shared" si="12"/>
        <v>224.66687798278818</v>
      </c>
      <c r="T120" s="24">
        <f t="shared" si="11"/>
        <v>-0.29322755475430673</v>
      </c>
      <c r="U120" s="2" cm="1">
        <f t="array" ref="U120">SUMPRODUCT(B$2:Q$2, B120:Q120, --ISNUMBER(B120:Q120)) /
 SUMPRODUCT(B$2:Q$2, --ISNUMBER(B120:Q120))</f>
        <v>239.38427765770336</v>
      </c>
      <c r="V120" s="2">
        <f t="shared" si="8"/>
        <v>-0.22159234958188037</v>
      </c>
      <c r="W120" s="7">
        <v>-27.921311654083301</v>
      </c>
      <c r="X120" s="2">
        <f t="shared" si="9"/>
        <v>-0.27921311654083303</v>
      </c>
      <c r="AA120" s="2" cm="1">
        <f t="array" ref="AA120">_xlfn.STDEV.S( _xlfn._xlws.FILTER(B120:Q120, ISNUMBER(B120:Q120)) )</f>
        <v>165.59371600055775</v>
      </c>
      <c r="AB120" s="2" cm="1">
        <f t="array" ref="AB120">_xlfn.STDEV.S(_xlfn._xlws.FILTER(B120:Q120, ISNUMBER(B120:Q120))) /
 AVERAGE(_xlfn._xlws.FILTER(B120:Q120, ISNUMBER(B120:Q120)))</f>
        <v>0.73706332454240964</v>
      </c>
      <c r="AE120" s="2">
        <f t="shared" si="10"/>
        <v>-0.22159234958188037</v>
      </c>
    </row>
    <row r="121" spans="1:31" x14ac:dyDescent="0.3">
      <c r="A121" s="2">
        <v>2017</v>
      </c>
      <c r="B121">
        <v>302.88882201272799</v>
      </c>
      <c r="C121" s="2">
        <v>164.406989489967</v>
      </c>
      <c r="D121">
        <v>185.72720533772701</v>
      </c>
      <c r="E121">
        <v>170.412275279787</v>
      </c>
      <c r="F121">
        <v>190.89989406563001</v>
      </c>
      <c r="G121">
        <v>453.77046003831401</v>
      </c>
      <c r="H121">
        <v>895.08223292122398</v>
      </c>
      <c r="I121" s="2">
        <v>199.30014391460099</v>
      </c>
      <c r="J121" s="2">
        <v>672.36123262365902</v>
      </c>
      <c r="K121" s="2">
        <v>280.58433519134098</v>
      </c>
      <c r="L121" s="2">
        <v>663.02618135289504</v>
      </c>
      <c r="M121" s="2">
        <v>545.58382152883303</v>
      </c>
      <c r="N121" s="2" t="s">
        <v>27</v>
      </c>
      <c r="O121" s="2">
        <v>601.50242356662795</v>
      </c>
      <c r="P121" s="2">
        <v>527.08703165555005</v>
      </c>
      <c r="Q121" s="2">
        <v>149.209026898047</v>
      </c>
      <c r="S121" s="2">
        <f t="shared" si="12"/>
        <v>400.12280505846206</v>
      </c>
      <c r="T121" s="24">
        <f t="shared" si="11"/>
        <v>0.25873371219143471</v>
      </c>
      <c r="U121" s="2" cm="1">
        <f t="array" ref="U121">SUMPRODUCT(B$2:Q$2, B121:Q121, --ISNUMBER(B121:Q121)) /
 SUMPRODUCT(B$2:Q$2, --ISNUMBER(B121:Q121))</f>
        <v>440.36069238141113</v>
      </c>
      <c r="V121" s="2">
        <f t="shared" si="8"/>
        <v>0.43192416497483355</v>
      </c>
      <c r="W121" s="7">
        <v>23.079973914728299</v>
      </c>
      <c r="X121" s="2">
        <f t="shared" si="9"/>
        <v>0.230799739147283</v>
      </c>
      <c r="AA121" s="2" cm="1">
        <f t="array" ref="AA121">_xlfn.STDEV.S( _xlfn._xlws.FILTER(B121:Q121, ISNUMBER(B121:Q121)) )</f>
        <v>238.15171591786577</v>
      </c>
      <c r="AB121" s="2" cm="1">
        <f t="array" ref="AB121">_xlfn.STDEV.S(_xlfn._xlws.FILTER(B121:Q121, ISNUMBER(B121:Q121))) /
 AVERAGE(_xlfn._xlws.FILTER(B121:Q121, ISNUMBER(B121:Q121)))</f>
        <v>0.59519655692474049</v>
      </c>
      <c r="AE121" s="2">
        <f t="shared" si="10"/>
        <v>0.43192416497483355</v>
      </c>
    </row>
    <row r="122" spans="1:31" x14ac:dyDescent="0.3">
      <c r="A122" s="2">
        <v>2018</v>
      </c>
      <c r="B122">
        <v>182.237499199279</v>
      </c>
      <c r="C122" s="2">
        <v>58.784441157818101</v>
      </c>
      <c r="D122">
        <v>46.028159022285799</v>
      </c>
      <c r="E122">
        <v>76.895920851646395</v>
      </c>
      <c r="F122">
        <v>141.73575241529201</v>
      </c>
      <c r="G122">
        <v>248.004209908608</v>
      </c>
      <c r="H122">
        <v>543.21331341568202</v>
      </c>
      <c r="I122" s="2">
        <v>109.94500212392001</v>
      </c>
      <c r="J122" s="2">
        <v>377.239349727319</v>
      </c>
      <c r="K122" s="2">
        <v>143.14638110569399</v>
      </c>
      <c r="L122" s="2">
        <v>359.79174784461998</v>
      </c>
      <c r="M122" s="2">
        <v>302.88012940544502</v>
      </c>
      <c r="N122" s="2" t="s">
        <v>27</v>
      </c>
      <c r="O122" s="2">
        <v>271.205365577142</v>
      </c>
      <c r="P122" s="2">
        <v>189.55087746876401</v>
      </c>
      <c r="Q122" s="2">
        <v>41.895637767950298</v>
      </c>
      <c r="S122" s="2">
        <f t="shared" si="12"/>
        <v>206.17025246609771</v>
      </c>
      <c r="T122" s="24">
        <f t="shared" si="11"/>
        <v>-0.35141550556665002</v>
      </c>
      <c r="U122" s="2" cm="1">
        <f t="array" ref="U122">SUMPRODUCT(B$2:Q$2, B122:Q122, --ISNUMBER(B122:Q122)) /
 SUMPRODUCT(B$2:Q$2, --ISNUMBER(B122:Q122))</f>
        <v>220.14637380271986</v>
      </c>
      <c r="V122" s="2">
        <f t="shared" si="8"/>
        <v>-0.28414838578130075</v>
      </c>
      <c r="W122" s="7">
        <v>-35.691444517177203</v>
      </c>
      <c r="X122" s="2">
        <f t="shared" si="9"/>
        <v>-0.35691444517177201</v>
      </c>
      <c r="AA122" s="2" cm="1">
        <f t="array" ref="AA122">_xlfn.STDEV.S( _xlfn._xlws.FILTER(B122:Q122, ISNUMBER(B122:Q122)) )</f>
        <v>144.1955102893566</v>
      </c>
      <c r="AB122" s="2" cm="1">
        <f t="array" ref="AB122">_xlfn.STDEV.S(_xlfn._xlws.FILTER(B122:Q122, ISNUMBER(B122:Q122))) /
 AVERAGE(_xlfn._xlws.FILTER(B122:Q122, ISNUMBER(B122:Q122)))</f>
        <v>0.69940017322852077</v>
      </c>
      <c r="AE122" s="2">
        <f t="shared" si="10"/>
        <v>-0.28414838578130075</v>
      </c>
    </row>
    <row r="123" spans="1:31" x14ac:dyDescent="0.3">
      <c r="A123" s="2">
        <v>2019</v>
      </c>
      <c r="B123" s="13">
        <v>303.90904397951101</v>
      </c>
      <c r="C123" s="2">
        <v>198.821223319957</v>
      </c>
      <c r="D123" s="13">
        <v>69.642663656653696</v>
      </c>
      <c r="E123" s="13">
        <v>196.94368814493501</v>
      </c>
      <c r="F123" s="13">
        <v>207.627095758233</v>
      </c>
      <c r="G123" s="13">
        <v>556.92492244347</v>
      </c>
      <c r="H123" s="13">
        <v>775.69024375352501</v>
      </c>
      <c r="I123" s="2">
        <v>120.022822413288</v>
      </c>
      <c r="J123" s="2">
        <v>382.83349623829702</v>
      </c>
      <c r="K123" s="2">
        <v>167.05190338559899</v>
      </c>
      <c r="L123" s="2">
        <v>376.59271660037501</v>
      </c>
      <c r="M123" s="2">
        <v>481.901897514572</v>
      </c>
      <c r="N123" s="2" t="s">
        <v>27</v>
      </c>
      <c r="O123" s="2">
        <v>481.56158486674201</v>
      </c>
      <c r="P123" s="2">
        <v>339.184153766831</v>
      </c>
      <c r="Q123" s="2">
        <v>108.54054989467799</v>
      </c>
      <c r="S123" s="2">
        <f t="shared" si="12"/>
        <v>317.81653371577778</v>
      </c>
      <c r="T123" s="24">
        <f t="shared" si="11"/>
        <v>-1.9099080987314978E-4</v>
      </c>
      <c r="U123" s="2" cm="1">
        <f t="array" ref="U123">SUMPRODUCT(B$2:Q$2, B123:Q123, --ISNUMBER(B123:Q123)) /
 SUMPRODUCT(B$2:Q$2, --ISNUMBER(B123:Q123))</f>
        <v>311.44065722253606</v>
      </c>
      <c r="V123" s="2">
        <f t="shared" si="8"/>
        <v>1.2713920084249828E-2</v>
      </c>
      <c r="W123" s="7">
        <v>-4.0108714022129703</v>
      </c>
      <c r="X123" s="2">
        <f t="shared" si="9"/>
        <v>-4.0108714022129704E-2</v>
      </c>
      <c r="AA123" s="2" cm="1">
        <f t="array" ref="AA123">_xlfn.STDEV.S( _xlfn._xlws.FILTER(B123:Q123, ISNUMBER(B123:Q123)) )</f>
        <v>195.85714855192265</v>
      </c>
      <c r="AB123" s="2" cm="1">
        <f t="array" ref="AB123">_xlfn.STDEV.S(_xlfn._xlws.FILTER(B123:Q123, ISNUMBER(B123:Q123))) /
 AVERAGE(_xlfn._xlws.FILTER(B123:Q123, ISNUMBER(B123:Q123)))</f>
        <v>0.61625852582948693</v>
      </c>
      <c r="AE123" s="2">
        <f t="shared" si="10"/>
        <v>1.2713920084249828E-2</v>
      </c>
    </row>
    <row r="124" spans="1:31" x14ac:dyDescent="0.3">
      <c r="A124" s="2">
        <v>2020</v>
      </c>
      <c r="B124" s="13">
        <v>247.02965441218399</v>
      </c>
      <c r="C124" s="2">
        <v>97.097489495614894</v>
      </c>
      <c r="D124" s="13">
        <v>55.518546345481802</v>
      </c>
      <c r="E124" s="13">
        <v>156.14824085469601</v>
      </c>
      <c r="F124" s="13">
        <v>161.43711331254801</v>
      </c>
      <c r="G124" s="13">
        <v>338.30925976221403</v>
      </c>
      <c r="H124" s="13">
        <v>655.39024445246002</v>
      </c>
      <c r="I124" s="2">
        <v>89.559458526778599</v>
      </c>
      <c r="J124" s="2">
        <v>339.83803829923397</v>
      </c>
      <c r="K124" s="2">
        <v>135.91280457486999</v>
      </c>
      <c r="L124" s="2">
        <v>344.80804295254802</v>
      </c>
      <c r="M124" s="2">
        <v>331.48385958428298</v>
      </c>
      <c r="N124" s="2" t="s">
        <v>27</v>
      </c>
      <c r="O124" s="2">
        <v>359.719993102628</v>
      </c>
      <c r="P124" s="2">
        <v>213.84340839262899</v>
      </c>
      <c r="Q124" s="2">
        <v>50.3103621773515</v>
      </c>
      <c r="S124" s="2">
        <f t="shared" si="12"/>
        <v>238.42710108303473</v>
      </c>
      <c r="T124" s="24">
        <f t="shared" si="11"/>
        <v>-0.24993970291335763</v>
      </c>
      <c r="U124" s="2" cm="1">
        <f t="array" ref="U124">SUMPRODUCT(B$2:Q$2, B124:Q124, --ISNUMBER(B124:Q124)) /
 SUMPRODUCT(B$2:Q$2, --ISNUMBER(B124:Q124))</f>
        <v>236.45291983741816</v>
      </c>
      <c r="V124" s="2">
        <f t="shared" si="8"/>
        <v>-0.23112426778365019</v>
      </c>
      <c r="W124" s="7">
        <v>-28.719161694397201</v>
      </c>
      <c r="X124" s="2">
        <f t="shared" si="9"/>
        <v>-0.28719161694397199</v>
      </c>
      <c r="AA124" s="2" cm="1">
        <f t="array" ref="AA124">_xlfn.STDEV.S( _xlfn._xlws.FILTER(B124:Q124, ISNUMBER(B124:Q124)) )</f>
        <v>161.17231470179595</v>
      </c>
      <c r="AB124" s="2" cm="1">
        <f t="array" ref="AB124">_xlfn.STDEV.S(_xlfn._xlws.FILTER(B124:Q124, ISNUMBER(B124:Q124))) /
 AVERAGE(_xlfn._xlws.FILTER(B124:Q124, ISNUMBER(B124:Q124)))</f>
        <v>0.67598152210753093</v>
      </c>
      <c r="AE124" s="2">
        <f t="shared" si="10"/>
        <v>-0.23112426778365019</v>
      </c>
    </row>
    <row r="125" spans="1:31" x14ac:dyDescent="0.3">
      <c r="A125" s="2">
        <v>2021</v>
      </c>
      <c r="B125" t="s">
        <v>27</v>
      </c>
      <c r="C125" s="2">
        <v>51.622659071999998</v>
      </c>
      <c r="D125" t="s">
        <v>27</v>
      </c>
      <c r="E125" t="s">
        <v>27</v>
      </c>
      <c r="F125" t="s">
        <v>27</v>
      </c>
      <c r="G125" t="s">
        <v>27</v>
      </c>
      <c r="H125" s="14">
        <v>266.66371310741295</v>
      </c>
      <c r="I125" s="2">
        <v>35.632166435175499</v>
      </c>
      <c r="J125" s="2">
        <v>216.14562881361601</v>
      </c>
      <c r="K125" s="2">
        <v>80.713833604517603</v>
      </c>
      <c r="L125" s="2">
        <v>193.18950134018701</v>
      </c>
      <c r="M125" s="2">
        <v>211.47708538153401</v>
      </c>
      <c r="N125" s="2" t="s">
        <v>27</v>
      </c>
      <c r="O125" s="2">
        <v>205.85161510765701</v>
      </c>
      <c r="P125" s="2">
        <v>108.27728350058401</v>
      </c>
      <c r="Q125" s="2">
        <v>19.390674886121701</v>
      </c>
      <c r="S125" s="2">
        <f t="shared" si="12"/>
        <v>138.89641612488057</v>
      </c>
      <c r="T125" s="24">
        <f t="shared" si="11"/>
        <v>-0.56305014543369458</v>
      </c>
      <c r="U125" s="2" cm="1">
        <f t="array" ref="U125">SUMPRODUCT(B$2:Q$2, B125:Q125, --ISNUMBER(B125:Q125)) /
 SUMPRODUCT(B$2:Q$2, --ISNUMBER(B125:Q125))</f>
        <v>136.25903964281588</v>
      </c>
      <c r="V125" s="2">
        <f t="shared" si="8"/>
        <v>-0.55692545920556802</v>
      </c>
      <c r="W125" s="7">
        <v>-60.689294840886802</v>
      </c>
      <c r="X125" s="2">
        <f>W125/100</f>
        <v>-0.60689294840886798</v>
      </c>
      <c r="AA125" s="2" cm="1">
        <f t="array" ref="AA125">_xlfn.STDEV.S( _xlfn._xlws.FILTER(B125:Q125, ISNUMBER(B125:Q125)) )</f>
        <v>89.365165147492107</v>
      </c>
      <c r="AB125" s="2" cm="1">
        <f t="array" ref="AB125">_xlfn.STDEV.S(_xlfn._xlws.FILTER(B125:Q125, ISNUMBER(B125:Q125))) /
 AVERAGE(_xlfn._xlws.FILTER(B125:Q125, ISNUMBER(B125:Q125)))</f>
        <v>0.64339431959961191</v>
      </c>
      <c r="AE125" s="2">
        <f t="shared" si="10"/>
        <v>-0.55692545920556802</v>
      </c>
    </row>
    <row r="126" spans="1:31" x14ac:dyDescent="0.3">
      <c r="A126" s="2">
        <v>2022</v>
      </c>
      <c r="B126" s="14">
        <v>144.81577737598491</v>
      </c>
      <c r="C126" s="2">
        <v>76.122390774417099</v>
      </c>
      <c r="D126" s="14">
        <v>30.130697056603132</v>
      </c>
      <c r="E126" s="14">
        <v>92.717178300301185</v>
      </c>
      <c r="F126" s="14">
        <v>130.68563129388093</v>
      </c>
      <c r="G126" s="14">
        <v>65.41501059272629</v>
      </c>
      <c r="H126" s="14">
        <v>495.81281048586874</v>
      </c>
      <c r="I126" s="2">
        <v>24.1024646956946</v>
      </c>
      <c r="J126" s="2">
        <v>277.917221800851</v>
      </c>
      <c r="K126" s="2">
        <v>80.807378986164693</v>
      </c>
      <c r="L126" s="2">
        <v>228.122479747234</v>
      </c>
      <c r="M126" s="2">
        <v>327.83136157005703</v>
      </c>
      <c r="N126" s="2" t="s">
        <v>27</v>
      </c>
      <c r="O126" s="2">
        <v>374.44311099977102</v>
      </c>
      <c r="P126" s="2">
        <v>180.03811258678601</v>
      </c>
      <c r="Q126" s="2">
        <v>58.153295469555196</v>
      </c>
      <c r="S126" s="2">
        <f t="shared" si="12"/>
        <v>172.47432811572637</v>
      </c>
      <c r="T126" s="24">
        <f t="shared" si="11"/>
        <v>-0.45741845117997876</v>
      </c>
      <c r="U126" s="2" cm="1">
        <f t="array" ref="U126">SUMPRODUCT(B$2:Q$2, B126:Q126, --ISNUMBER(B126:Q126)) /
 SUMPRODUCT(B$2:Q$2, --ISNUMBER(B126:Q126))</f>
        <v>187.80931513820769</v>
      </c>
      <c r="V126" s="2">
        <f t="shared" si="8"/>
        <v>-0.38929904188440762</v>
      </c>
      <c r="W126" s="7">
        <v>-32.109574761468103</v>
      </c>
      <c r="X126" s="2">
        <f t="shared" si="9"/>
        <v>-0.32109574761468102</v>
      </c>
      <c r="AA126" s="2" cm="1">
        <f t="array" ref="AA126">_xlfn.STDEV.S( _xlfn._xlws.FILTER(B126:Q126, ISNUMBER(B126:Q126)) )</f>
        <v>140.69039890344885</v>
      </c>
      <c r="AB126" s="2" cm="1">
        <f t="array" ref="AB126">_xlfn.STDEV.S(_xlfn._xlws.FILTER(B126:Q126, ISNUMBER(B126:Q126))) /
 AVERAGE(_xlfn._xlws.FILTER(B126:Q126, ISNUMBER(B126:Q126)))</f>
        <v>0.81571791257565462</v>
      </c>
      <c r="AE126" s="2">
        <f t="shared" si="10"/>
        <v>-0.38929904188440762</v>
      </c>
    </row>
    <row r="127" spans="1:31" x14ac:dyDescent="0.3">
      <c r="A127" s="2">
        <v>2023</v>
      </c>
      <c r="B127" s="15">
        <v>196.38889935489118</v>
      </c>
      <c r="C127" s="2">
        <v>269.28640807700498</v>
      </c>
      <c r="D127" s="17">
        <v>223.72531599999999</v>
      </c>
      <c r="E127" s="15">
        <v>218.66598119928358</v>
      </c>
      <c r="F127" s="15">
        <v>307.05473841924555</v>
      </c>
      <c r="G127" s="15">
        <v>531.24853985279992</v>
      </c>
      <c r="H127" s="14">
        <v>808.34700269640371</v>
      </c>
      <c r="I127" s="2">
        <v>127.37206179370899</v>
      </c>
      <c r="J127" s="2">
        <v>424.52758634757402</v>
      </c>
      <c r="K127" s="2">
        <v>202.41241743811699</v>
      </c>
      <c r="L127" s="2">
        <v>503.63381330252702</v>
      </c>
      <c r="M127" s="2">
        <v>531.17780084477101</v>
      </c>
      <c r="N127" s="2" t="s">
        <v>27</v>
      </c>
      <c r="O127" s="2">
        <v>589.19209120182802</v>
      </c>
      <c r="P127" s="2">
        <v>438.62010507505602</v>
      </c>
      <c r="Q127" s="2">
        <v>146.398698820531</v>
      </c>
      <c r="S127" s="2">
        <f t="shared" si="12"/>
        <v>367.87009736158268</v>
      </c>
      <c r="T127" s="24">
        <f t="shared" si="11"/>
        <v>0.1572709363279432</v>
      </c>
      <c r="U127" s="2" cm="1">
        <f t="array" ref="U127">SUMPRODUCT(B$2:Q$2, B127:Q127, --ISNUMBER(B127:Q127)) /
 SUMPRODUCT(B$2:Q$2, --ISNUMBER(B127:Q127))</f>
        <v>371.86791051200157</v>
      </c>
      <c r="V127" s="2">
        <f t="shared" si="8"/>
        <v>0.2092056726526115</v>
      </c>
      <c r="W127" s="7">
        <v>5.2502013897451798</v>
      </c>
      <c r="X127" s="2">
        <f t="shared" si="9"/>
        <v>5.2502013897451801E-2</v>
      </c>
      <c r="AA127" s="2" cm="1">
        <f t="array" ref="AA127">_xlfn.STDEV.S( _xlfn._xlws.FILTER(B127:Q127, ISNUMBER(B127:Q127)) )</f>
        <v>196.96635687042678</v>
      </c>
      <c r="AB127" s="2" cm="1">
        <f t="array" ref="AB127">_xlfn.STDEV.S(_xlfn._xlws.FILTER(B127:Q127, ISNUMBER(B127:Q127))) /
 AVERAGE(_xlfn._xlws.FILTER(B127:Q127, ISNUMBER(B127:Q127)))</f>
        <v>0.53542366798252383</v>
      </c>
      <c r="AE127" s="2">
        <f t="shared" si="10"/>
        <v>0.2092056726526115</v>
      </c>
    </row>
    <row r="128" spans="1:31" x14ac:dyDescent="0.3">
      <c r="A128" s="2">
        <v>2024</v>
      </c>
      <c r="B128" s="15">
        <v>202.44596143948255</v>
      </c>
      <c r="C128" s="2">
        <v>236.38761</v>
      </c>
      <c r="D128" s="17">
        <v>158.19827918829642</v>
      </c>
      <c r="E128" s="15">
        <v>192.22441791393527</v>
      </c>
      <c r="F128" s="15">
        <v>284.18067822853311</v>
      </c>
      <c r="G128" s="15">
        <v>354.15676759847258</v>
      </c>
      <c r="H128" s="15">
        <v>271.28241797078249</v>
      </c>
      <c r="I128" s="2">
        <v>104.13522</v>
      </c>
      <c r="J128" s="2">
        <v>347.30326000000002</v>
      </c>
      <c r="K128" s="2">
        <v>174.11198999999999</v>
      </c>
      <c r="L128" s="2">
        <v>472.61304000000001</v>
      </c>
      <c r="M128" s="2">
        <v>412.01092</v>
      </c>
      <c r="N128" s="2" t="s">
        <v>27</v>
      </c>
      <c r="O128" s="2">
        <v>481.54840000000002</v>
      </c>
      <c r="P128" s="2">
        <v>341.76598999999999</v>
      </c>
      <c r="Q128" s="2">
        <v>113.81180999999999</v>
      </c>
      <c r="S128" s="2">
        <f>AVERAGEIF(B128:Q128, "&lt;&gt;NA")</f>
        <v>276.41178415596681</v>
      </c>
      <c r="T128" s="24">
        <f t="shared" si="11"/>
        <v>-0.13044488650612726</v>
      </c>
      <c r="U128" s="2" cm="1">
        <f t="array" ref="U128">SUMPRODUCT(B$2:Q$2, B128:Q128, --ISNUMBER(B128:Q128)) /
 SUMPRODUCT(B$2:Q$2, --ISNUMBER(B128:Q128))</f>
        <v>300.81723862379243</v>
      </c>
      <c r="V128" s="2">
        <f t="shared" si="8"/>
        <v>-2.1830329821253824E-2</v>
      </c>
      <c r="AA128" s="2" cm="1">
        <f t="array" ref="AA128">_xlfn.STDEV.S( _xlfn._xlws.FILTER(B128:Q128, ISNUMBER(B128:Q128)) )</f>
        <v>122.21434583901829</v>
      </c>
      <c r="AB128" s="2" cm="1">
        <f t="array" ref="AB128">_xlfn.STDEV.S(_xlfn._xlws.FILTER(B128:Q128, ISNUMBER(B128:Q128))) /
 AVERAGE(_xlfn._xlws.FILTER(B128:Q128, ISNUMBER(B128:Q128)))</f>
        <v>0.44214593170187783</v>
      </c>
      <c r="AE128" s="2">
        <f t="shared" si="10"/>
        <v>-2.1830329821253824E-2</v>
      </c>
    </row>
    <row r="129" spans="1:31" x14ac:dyDescent="0.3">
      <c r="A129" s="2">
        <v>2025</v>
      </c>
      <c r="B129" s="15">
        <v>107.09226674574668</v>
      </c>
      <c r="C129" s="2">
        <v>95.696430000000007</v>
      </c>
      <c r="D129" s="15">
        <v>45.049588913146344</v>
      </c>
      <c r="E129" s="15">
        <v>67.24326874627873</v>
      </c>
      <c r="F129" s="15">
        <v>188.63017596081917</v>
      </c>
      <c r="G129" s="15">
        <v>218.36476157493559</v>
      </c>
      <c r="H129" s="25">
        <v>97.99346890851092</v>
      </c>
      <c r="I129" s="2">
        <v>60.015430000000002</v>
      </c>
      <c r="J129" s="2">
        <v>318.14447000000001</v>
      </c>
      <c r="K129" s="2">
        <v>110.2668</v>
      </c>
      <c r="L129" s="2">
        <v>317.92322000000001</v>
      </c>
      <c r="M129" s="2">
        <v>278.44036999999997</v>
      </c>
      <c r="N129" s="2" t="s">
        <v>27</v>
      </c>
      <c r="O129" s="2">
        <v>306.68290000000002</v>
      </c>
      <c r="P129" s="2">
        <v>190.15389999999999</v>
      </c>
      <c r="Q129" s="2">
        <v>47.655189999999997</v>
      </c>
      <c r="S129" s="2">
        <f>AVERAGEIF(B129:Q129, "&lt;&gt;NA")</f>
        <v>163.29014938996249</v>
      </c>
      <c r="T129" s="24">
        <f t="shared" si="11"/>
        <v>-0.48631066935589917</v>
      </c>
      <c r="U129" s="2" cm="1">
        <f t="array" ref="U129">SUMPRODUCT(B$2:Q$2, B129:Q129, --ISNUMBER(B129:Q129)) /
 SUMPRODUCT(B$2:Q$2, --ISNUMBER(B129:Q129))</f>
        <v>194.65328421557939</v>
      </c>
      <c r="V129" s="2">
        <f t="shared" si="8"/>
        <v>-0.3670444563235763</v>
      </c>
      <c r="AA129" s="2" cm="1">
        <f t="array" ref="AA129">_xlfn.STDEV.S( _xlfn._xlws.FILTER(B129:Q129, ISNUMBER(B129:Q129)) )</f>
        <v>102.87109903079447</v>
      </c>
      <c r="AB129" s="2" cm="1">
        <f t="array" ref="AB129">_xlfn.STDEV.S(_xlfn._xlws.FILTER(B129:Q129, ISNUMBER(B129:Q129))) /
 AVERAGE(_xlfn._xlws.FILTER(B129:Q129, ISNUMBER(B129:Q129)))</f>
        <v>0.6299896191846952</v>
      </c>
      <c r="AE129" s="2">
        <v>-0.33863222599999998</v>
      </c>
    </row>
    <row r="132" spans="1:31" x14ac:dyDescent="0.3">
      <c r="B132" s="16"/>
      <c r="C132" s="2" t="s">
        <v>42</v>
      </c>
    </row>
    <row r="133" spans="1:31" x14ac:dyDescent="0.3">
      <c r="B133" s="15"/>
      <c r="C133" s="2" t="s">
        <v>41</v>
      </c>
      <c r="D133" s="12"/>
    </row>
    <row r="134" spans="1:31" x14ac:dyDescent="0.3">
      <c r="C134" s="2" t="s">
        <v>43</v>
      </c>
      <c r="D134" s="12"/>
    </row>
    <row r="135" spans="1:31" x14ac:dyDescent="0.3">
      <c r="C135"/>
    </row>
  </sheetData>
  <mergeCells count="5">
    <mergeCell ref="B1:H1"/>
    <mergeCell ref="I1:N1"/>
    <mergeCell ref="O1:Q1"/>
    <mergeCell ref="S1:S4"/>
    <mergeCell ref="T1:T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E463-327E-DD44-A487-F0DF44BD5A41}">
  <dimension ref="A1:AD132"/>
  <sheetViews>
    <sheetView topLeftCell="T1" zoomScale="75" zoomScaleNormal="100" workbookViewId="0">
      <selection activeCell="AD6" sqref="AD6:AD129"/>
    </sheetView>
  </sheetViews>
  <sheetFormatPr defaultColWidth="10.796875" defaultRowHeight="15.6" x14ac:dyDescent="0.3"/>
  <cols>
    <col min="1" max="17" width="10.796875" style="2"/>
    <col min="18" max="18" width="14.796875" style="2" bestFit="1" customWidth="1"/>
    <col min="19" max="19" width="33.296875" style="2" customWidth="1"/>
    <col min="20" max="20" width="31.296875" style="2" customWidth="1"/>
    <col min="21" max="21" width="20.296875" style="2" bestFit="1" customWidth="1"/>
    <col min="22" max="22" width="15.296875" style="2" bestFit="1" customWidth="1"/>
    <col min="23" max="16384" width="10.796875" style="2"/>
  </cols>
  <sheetData>
    <row r="1" spans="1:30" ht="16.05" customHeight="1" x14ac:dyDescent="0.3">
      <c r="B1" s="31" t="s">
        <v>16</v>
      </c>
      <c r="C1" s="31"/>
      <c r="D1" s="31"/>
      <c r="E1" s="31"/>
      <c r="F1" s="31"/>
      <c r="G1" s="31"/>
      <c r="H1" s="31"/>
      <c r="I1" s="31" t="s">
        <v>17</v>
      </c>
      <c r="J1" s="31"/>
      <c r="K1" s="31"/>
      <c r="L1" s="31"/>
      <c r="M1" s="31"/>
      <c r="N1" s="31"/>
      <c r="O1" s="31" t="s">
        <v>18</v>
      </c>
      <c r="P1" s="31"/>
      <c r="Q1" s="31"/>
      <c r="R1" s="2" t="s">
        <v>24</v>
      </c>
      <c r="S1" s="29" t="s">
        <v>29</v>
      </c>
      <c r="T1" s="29" t="s">
        <v>30</v>
      </c>
      <c r="U1" s="2" t="s">
        <v>48</v>
      </c>
      <c r="V1" s="2">
        <f>AVERAGE(S6:S129)</f>
        <v>0.30914313059847937</v>
      </c>
    </row>
    <row r="2" spans="1:30" x14ac:dyDescent="0.3">
      <c r="A2" s="2" t="s">
        <v>19</v>
      </c>
      <c r="B2" s="3">
        <v>45736780000000</v>
      </c>
      <c r="C2" s="3">
        <v>18702910000000</v>
      </c>
      <c r="D2" s="3">
        <v>47524750000000</v>
      </c>
      <c r="E2" s="3">
        <v>134171300000000</v>
      </c>
      <c r="F2" s="3">
        <v>56157330000000</v>
      </c>
      <c r="G2" s="3">
        <v>129152700000000</v>
      </c>
      <c r="H2" s="3">
        <v>70686060000000</v>
      </c>
      <c r="I2" s="3">
        <v>131276500000000</v>
      </c>
      <c r="J2" s="3">
        <v>423253600000000</v>
      </c>
      <c r="K2" s="3">
        <v>680367800000000</v>
      </c>
      <c r="L2" s="3">
        <v>554497600000000</v>
      </c>
      <c r="M2" s="3">
        <v>451295900000000</v>
      </c>
      <c r="N2" s="3">
        <v>160663000000000</v>
      </c>
      <c r="O2" s="3">
        <v>420030100000000</v>
      </c>
      <c r="P2" s="3">
        <v>355771100000000</v>
      </c>
      <c r="Q2" s="3">
        <v>643761000000000</v>
      </c>
      <c r="R2" s="8">
        <f>SUM(B2:Q2)</f>
        <v>4323048430000000</v>
      </c>
      <c r="S2" s="29"/>
      <c r="T2" s="29"/>
      <c r="U2" s="2" t="s">
        <v>49</v>
      </c>
      <c r="V2" s="2">
        <f>AVERAGE(U6:U129)</f>
        <v>0.29911657406010012</v>
      </c>
    </row>
    <row r="3" spans="1:30" x14ac:dyDescent="0.3">
      <c r="A3" s="2" t="s">
        <v>51</v>
      </c>
      <c r="S3" s="29"/>
      <c r="T3" s="29"/>
      <c r="W3" s="2" t="s">
        <v>25</v>
      </c>
    </row>
    <row r="4" spans="1:30" x14ac:dyDescent="0.3">
      <c r="B4" s="15" t="s">
        <v>0</v>
      </c>
      <c r="C4" s="2" t="s">
        <v>1</v>
      </c>
      <c r="D4" s="15" t="s">
        <v>2</v>
      </c>
      <c r="E4" s="15" t="s">
        <v>3</v>
      </c>
      <c r="F4" s="15" t="s">
        <v>4</v>
      </c>
      <c r="G4" s="15" t="s">
        <v>5</v>
      </c>
      <c r="H4" s="15" t="s">
        <v>6</v>
      </c>
      <c r="I4" s="2" t="s">
        <v>7</v>
      </c>
      <c r="J4" s="2" t="s">
        <v>8</v>
      </c>
      <c r="K4" s="2" t="s">
        <v>9</v>
      </c>
      <c r="L4" s="2" t="s">
        <v>10</v>
      </c>
      <c r="M4" s="2" t="s">
        <v>11</v>
      </c>
      <c r="N4" s="2" t="s">
        <v>12</v>
      </c>
      <c r="O4" s="2" t="s">
        <v>13</v>
      </c>
      <c r="P4" s="2" t="s">
        <v>14</v>
      </c>
      <c r="Q4" s="2" t="s">
        <v>15</v>
      </c>
      <c r="S4" s="29"/>
      <c r="T4" s="29"/>
      <c r="U4" s="2" t="s">
        <v>20</v>
      </c>
      <c r="V4" s="2" t="s">
        <v>50</v>
      </c>
    </row>
    <row r="5" spans="1:30" x14ac:dyDescent="0.3">
      <c r="A5" s="2">
        <v>1901</v>
      </c>
      <c r="B5" s="2" t="s">
        <v>27</v>
      </c>
      <c r="C5" s="2" t="s">
        <v>27</v>
      </c>
      <c r="D5" s="2" t="s">
        <v>27</v>
      </c>
      <c r="E5" s="2" t="s">
        <v>27</v>
      </c>
      <c r="F5" s="2" t="s">
        <v>27</v>
      </c>
      <c r="G5" s="2" t="s">
        <v>27</v>
      </c>
      <c r="H5" s="2" t="s">
        <v>27</v>
      </c>
      <c r="I5" s="2" t="s">
        <v>27</v>
      </c>
      <c r="J5" s="2" t="s">
        <v>27</v>
      </c>
      <c r="K5" s="2" t="s">
        <v>27</v>
      </c>
      <c r="L5" s="2" t="s">
        <v>27</v>
      </c>
      <c r="M5" s="2" t="s">
        <v>27</v>
      </c>
      <c r="N5" s="2" t="s">
        <v>27</v>
      </c>
      <c r="O5" s="2" t="s">
        <v>27</v>
      </c>
      <c r="P5" s="2" t="s">
        <v>27</v>
      </c>
      <c r="Q5" s="2" t="s">
        <v>27</v>
      </c>
      <c r="AA5" s="2" t="s">
        <v>52</v>
      </c>
      <c r="AD5" s="2" t="s">
        <v>57</v>
      </c>
    </row>
    <row r="6" spans="1:30" x14ac:dyDescent="0.3">
      <c r="A6" s="2">
        <v>1902</v>
      </c>
      <c r="B6">
        <v>0.312536405161291</v>
      </c>
      <c r="C6" s="2" t="s">
        <v>27</v>
      </c>
      <c r="D6">
        <v>3.5553281999999999E-2</v>
      </c>
      <c r="E6">
        <v>0.12842320909677399</v>
      </c>
      <c r="F6">
        <v>0.40771968764516098</v>
      </c>
      <c r="G6">
        <v>0.445254075032258</v>
      </c>
      <c r="H6" t="s">
        <v>27</v>
      </c>
      <c r="I6" s="2" t="s">
        <v>27</v>
      </c>
      <c r="J6" s="2" t="s">
        <v>27</v>
      </c>
      <c r="K6" s="2" t="s">
        <v>27</v>
      </c>
      <c r="L6" s="2" t="s">
        <v>27</v>
      </c>
      <c r="M6" s="2" t="s">
        <v>27</v>
      </c>
      <c r="N6" s="2" t="s">
        <v>27</v>
      </c>
      <c r="O6" s="2" t="s">
        <v>27</v>
      </c>
      <c r="P6" s="2" t="s">
        <v>27</v>
      </c>
      <c r="Q6" s="2" t="s">
        <v>27</v>
      </c>
      <c r="S6" s="2">
        <f t="shared" ref="S6:S33" si="0">AVERAGE(B6:Q6)</f>
        <v>0.26589733178709685</v>
      </c>
      <c r="T6" s="5">
        <f t="shared" ref="T6:T37" si="1">((S6-$V$1)/$V$1)</f>
        <v>-0.13988924394878738</v>
      </c>
      <c r="U6" s="2" cm="1">
        <f t="array" ref="U6">SUMPRODUCT(B$2:Q$2, B6:Q6, --ISNUMBER(B6:Q6)) /
 SUMPRODUCT(B$2:Q$2, --ISNUMBER(B6:Q6))</f>
        <v>0.2752730685184312</v>
      </c>
      <c r="V6" s="2">
        <f>((U6-$V$2)/$V$2)</f>
        <v>-7.9713087168744298E-2</v>
      </c>
      <c r="W6" s="11">
        <v>-14.695073679118901</v>
      </c>
      <c r="X6" s="2">
        <f>W6/100</f>
        <v>-0.146950736791189</v>
      </c>
      <c r="AA6" s="2">
        <f>STDEV(B6:Q6)</f>
        <v>0.17777453474530591</v>
      </c>
      <c r="AD6" s="2">
        <f t="shared" ref="AD6:AD69" si="2">V6</f>
        <v>-7.9713087168744298E-2</v>
      </c>
    </row>
    <row r="7" spans="1:30" x14ac:dyDescent="0.3">
      <c r="A7" s="2">
        <v>1903</v>
      </c>
      <c r="B7">
        <v>0.324809682258065</v>
      </c>
      <c r="C7" s="2" t="s">
        <v>27</v>
      </c>
      <c r="D7">
        <v>6.3575385967741899E-2</v>
      </c>
      <c r="E7">
        <v>0.14225916599999999</v>
      </c>
      <c r="F7">
        <v>0.342723144806452</v>
      </c>
      <c r="G7">
        <v>0.409919307774194</v>
      </c>
      <c r="H7" t="s">
        <v>27</v>
      </c>
      <c r="I7" s="2" t="s">
        <v>27</v>
      </c>
      <c r="J7" s="2" t="s">
        <v>27</v>
      </c>
      <c r="K7" s="2" t="s">
        <v>27</v>
      </c>
      <c r="L7" s="2" t="s">
        <v>27</v>
      </c>
      <c r="M7" s="2" t="s">
        <v>27</v>
      </c>
      <c r="N7" s="2" t="s">
        <v>27</v>
      </c>
      <c r="O7" s="2" t="s">
        <v>27</v>
      </c>
      <c r="P7" s="2" t="s">
        <v>27</v>
      </c>
      <c r="Q7" s="2" t="s">
        <v>27</v>
      </c>
      <c r="S7" s="2">
        <f t="shared" si="0"/>
        <v>0.25665733736129059</v>
      </c>
      <c r="T7" s="5">
        <f t="shared" si="1"/>
        <v>-0.16977829374885336</v>
      </c>
      <c r="U7" s="2" cm="1">
        <f t="array" ref="U7">SUMPRODUCT(B$2:Q$2, B7:Q7, --ISNUMBER(B7:Q7)) /
 SUMPRODUCT(B$2:Q$2, --ISNUMBER(B7:Q7))</f>
        <v>0.2644572765363285</v>
      </c>
      <c r="V7" s="2">
        <f t="shared" ref="V7:V70" si="3">((U7-$V$2)/$V$2)</f>
        <v>-0.11587220678987746</v>
      </c>
      <c r="W7" s="11">
        <v>-17.6594398064552</v>
      </c>
      <c r="X7" s="2">
        <f t="shared" ref="X7:X70" si="4">W7/100</f>
        <v>-0.17659439806455202</v>
      </c>
      <c r="AA7" s="2">
        <f t="shared" ref="AA7:AA70" si="5">STDEV(B7:Q7)</f>
        <v>0.14655108193536989</v>
      </c>
      <c r="AD7" s="2">
        <f t="shared" si="2"/>
        <v>-0.11587220678987746</v>
      </c>
    </row>
    <row r="8" spans="1:30" x14ac:dyDescent="0.3">
      <c r="A8" s="2">
        <v>1904</v>
      </c>
      <c r="B8">
        <v>0.33419614616129001</v>
      </c>
      <c r="C8" s="2" t="s">
        <v>27</v>
      </c>
      <c r="D8">
        <v>5.1017049290322601E-2</v>
      </c>
      <c r="E8">
        <v>0.12848761693548399</v>
      </c>
      <c r="F8">
        <v>0.43079071029032301</v>
      </c>
      <c r="G8">
        <v>0.46185992599999998</v>
      </c>
      <c r="H8" t="s">
        <v>27</v>
      </c>
      <c r="I8" s="2" t="s">
        <v>27</v>
      </c>
      <c r="J8" s="2" t="s">
        <v>27</v>
      </c>
      <c r="K8" s="2" t="s">
        <v>27</v>
      </c>
      <c r="L8" s="2" t="s">
        <v>27</v>
      </c>
      <c r="M8" s="2" t="s">
        <v>27</v>
      </c>
      <c r="N8" s="2" t="s">
        <v>27</v>
      </c>
      <c r="O8" s="2" t="s">
        <v>27</v>
      </c>
      <c r="P8" s="2" t="s">
        <v>27</v>
      </c>
      <c r="Q8" s="2" t="s">
        <v>27</v>
      </c>
      <c r="S8" s="2">
        <f t="shared" si="0"/>
        <v>0.2812702897354839</v>
      </c>
      <c r="T8" s="5">
        <f t="shared" si="1"/>
        <v>-9.0161605108402709E-2</v>
      </c>
      <c r="U8" s="2" cm="1">
        <f t="array" ref="U8">SUMPRODUCT(B$2:Q$2, B8:Q8, --ISNUMBER(B8:Q8)) /
 SUMPRODUCT(B$2:Q$2, --ISNUMBER(B8:Q8))</f>
        <v>0.28780992424346524</v>
      </c>
      <c r="V8" s="2">
        <f t="shared" si="3"/>
        <v>-3.7800144816993925E-2</v>
      </c>
      <c r="W8" s="11">
        <v>-9.7631360913766301</v>
      </c>
      <c r="X8" s="2">
        <f t="shared" si="4"/>
        <v>-9.7631360913766299E-2</v>
      </c>
      <c r="AA8" s="2">
        <f t="shared" si="5"/>
        <v>0.1831182807715141</v>
      </c>
      <c r="AD8" s="2">
        <f t="shared" si="2"/>
        <v>-3.7800144816993925E-2</v>
      </c>
    </row>
    <row r="9" spans="1:30" x14ac:dyDescent="0.3">
      <c r="A9" s="2">
        <v>1905</v>
      </c>
      <c r="B9">
        <v>0.41001388248387099</v>
      </c>
      <c r="C9" s="2" t="s">
        <v>27</v>
      </c>
      <c r="D9">
        <v>5.5184046580645199E-2</v>
      </c>
      <c r="E9">
        <v>0.16329708090322601</v>
      </c>
      <c r="F9">
        <v>0.38732806199999997</v>
      </c>
      <c r="G9">
        <v>0.49586622532258101</v>
      </c>
      <c r="H9" t="s">
        <v>27</v>
      </c>
      <c r="I9" s="2" t="s">
        <v>27</v>
      </c>
      <c r="J9" s="2" t="s">
        <v>27</v>
      </c>
      <c r="K9" s="2" t="s">
        <v>27</v>
      </c>
      <c r="L9" s="2" t="s">
        <v>27</v>
      </c>
      <c r="M9" s="2" t="s">
        <v>27</v>
      </c>
      <c r="N9" s="2" t="s">
        <v>27</v>
      </c>
      <c r="O9">
        <v>0.32038436571428502</v>
      </c>
      <c r="P9" s="2" t="s">
        <v>27</v>
      </c>
      <c r="Q9" s="2" t="s">
        <v>27</v>
      </c>
      <c r="S9" s="2">
        <f t="shared" si="0"/>
        <v>0.30534561050076803</v>
      </c>
      <c r="T9" s="5">
        <f t="shared" si="1"/>
        <v>-1.2284019024972691E-2</v>
      </c>
      <c r="U9" s="2" cm="1">
        <f t="array" ref="U9">SUMPRODUCT(B$2:Q$2, B9:Q9, --ISNUMBER(B9:Q9)) /
 SUMPRODUCT(B$2:Q$2, --ISNUMBER(B9:Q9))</f>
        <v>0.31659283605156568</v>
      </c>
      <c r="V9" s="2">
        <f t="shared" si="3"/>
        <v>5.8426257543168249E-2</v>
      </c>
      <c r="W9" s="11">
        <v>-2.05368038043129</v>
      </c>
      <c r="X9" s="2">
        <f t="shared" si="4"/>
        <v>-2.05368038043129E-2</v>
      </c>
      <c r="AA9" s="2">
        <f t="shared" si="5"/>
        <v>0.16550494323009934</v>
      </c>
      <c r="AD9" s="2">
        <f t="shared" si="2"/>
        <v>5.8426257543168249E-2</v>
      </c>
    </row>
    <row r="10" spans="1:30" x14ac:dyDescent="0.3">
      <c r="A10" s="2">
        <v>1906</v>
      </c>
      <c r="B10">
        <v>0.41637524309677398</v>
      </c>
      <c r="C10" s="2" t="s">
        <v>27</v>
      </c>
      <c r="D10">
        <v>3.7923500999999998E-2</v>
      </c>
      <c r="E10">
        <v>0.20322988935483899</v>
      </c>
      <c r="F10">
        <v>0.38002317851612899</v>
      </c>
      <c r="G10">
        <v>0.499392252806452</v>
      </c>
      <c r="H10" t="s">
        <v>27</v>
      </c>
      <c r="I10" s="2" t="s">
        <v>27</v>
      </c>
      <c r="J10" s="2" t="s">
        <v>27</v>
      </c>
      <c r="K10" s="2" t="s">
        <v>27</v>
      </c>
      <c r="L10" s="2" t="s">
        <v>27</v>
      </c>
      <c r="M10" s="2" t="s">
        <v>27</v>
      </c>
      <c r="N10" s="2" t="s">
        <v>27</v>
      </c>
      <c r="O10">
        <v>0.25048232228571399</v>
      </c>
      <c r="P10" s="2" t="s">
        <v>27</v>
      </c>
      <c r="Q10" s="2" t="s">
        <v>27</v>
      </c>
      <c r="S10" s="2">
        <f t="shared" si="0"/>
        <v>0.29790439784331801</v>
      </c>
      <c r="T10" s="5">
        <f t="shared" si="1"/>
        <v>-3.6354463815527635E-2</v>
      </c>
      <c r="U10" s="2" cm="1">
        <f t="array" ref="U10">SUMPRODUCT(B$2:Q$2, B10:Q10, --ISNUMBER(B10:Q10)) /
 SUMPRODUCT(B$2:Q$2, --ISNUMBER(B10:Q10))</f>
        <v>0.28718829436924082</v>
      </c>
      <c r="V10" s="2">
        <f t="shared" si="3"/>
        <v>-3.9878364240901631E-2</v>
      </c>
      <c r="W10" s="11">
        <v>-4.4378287689433398</v>
      </c>
      <c r="X10" s="2">
        <f t="shared" si="4"/>
        <v>-4.4378287689433395E-2</v>
      </c>
      <c r="AA10" s="2">
        <f t="shared" si="5"/>
        <v>0.16743856995512382</v>
      </c>
      <c r="AD10" s="2">
        <f t="shared" si="2"/>
        <v>-3.9878364240901631E-2</v>
      </c>
    </row>
    <row r="11" spans="1:30" x14ac:dyDescent="0.3">
      <c r="A11" s="2">
        <v>1907</v>
      </c>
      <c r="B11">
        <v>0.479331968064516</v>
      </c>
      <c r="C11" s="2" t="s">
        <v>27</v>
      </c>
      <c r="D11">
        <v>9.6280582806451603E-2</v>
      </c>
      <c r="E11">
        <v>0.147669417483871</v>
      </c>
      <c r="F11">
        <v>0.486705505741935</v>
      </c>
      <c r="G11">
        <v>0.914985484709677</v>
      </c>
      <c r="H11" t="s">
        <v>27</v>
      </c>
      <c r="I11" s="2" t="s">
        <v>27</v>
      </c>
      <c r="J11" s="2" t="s">
        <v>27</v>
      </c>
      <c r="K11" s="2" t="s">
        <v>27</v>
      </c>
      <c r="L11" s="2" t="s">
        <v>27</v>
      </c>
      <c r="M11" s="2" t="s">
        <v>27</v>
      </c>
      <c r="N11" s="2" t="s">
        <v>27</v>
      </c>
      <c r="O11">
        <v>0.38446123885714201</v>
      </c>
      <c r="P11" s="2" t="s">
        <v>27</v>
      </c>
      <c r="Q11" s="2" t="s">
        <v>27</v>
      </c>
      <c r="S11" s="2">
        <f t="shared" si="0"/>
        <v>0.41823903294393211</v>
      </c>
      <c r="T11" s="5">
        <f t="shared" si="1"/>
        <v>0.35289770836651213</v>
      </c>
      <c r="U11" s="2" cm="1">
        <f t="array" ref="U11">SUMPRODUCT(B$2:Q$2, B11:Q11, --ISNUMBER(B11:Q11)) /
 SUMPRODUCT(B$2:Q$2, --ISNUMBER(B11:Q11))</f>
        <v>0.42424771960083557</v>
      </c>
      <c r="V11" s="2">
        <f t="shared" si="3"/>
        <v>0.41833571387319191</v>
      </c>
      <c r="W11" s="11">
        <v>34.161805749922202</v>
      </c>
      <c r="X11" s="2">
        <f t="shared" si="4"/>
        <v>0.34161805749922203</v>
      </c>
      <c r="AA11" s="2">
        <f t="shared" si="5"/>
        <v>0.29434100691524723</v>
      </c>
      <c r="AD11" s="2">
        <f t="shared" si="2"/>
        <v>0.41833571387319191</v>
      </c>
    </row>
    <row r="12" spans="1:30" x14ac:dyDescent="0.3">
      <c r="A12" s="2">
        <v>1908</v>
      </c>
      <c r="B12">
        <v>0.509807724774194</v>
      </c>
      <c r="C12" s="2" t="s">
        <v>27</v>
      </c>
      <c r="D12">
        <v>9.4502918483871004E-2</v>
      </c>
      <c r="E12">
        <v>0.20282002180645201</v>
      </c>
      <c r="F12">
        <v>0.56518364809677402</v>
      </c>
      <c r="G12">
        <v>0.63184796832258106</v>
      </c>
      <c r="H12" t="s">
        <v>27</v>
      </c>
      <c r="I12" s="2" t="s">
        <v>27</v>
      </c>
      <c r="J12" s="2" t="s">
        <v>27</v>
      </c>
      <c r="K12" s="2" t="s">
        <v>27</v>
      </c>
      <c r="L12" s="2" t="s">
        <v>27</v>
      </c>
      <c r="M12" s="2" t="s">
        <v>27</v>
      </c>
      <c r="N12" s="2" t="s">
        <v>27</v>
      </c>
      <c r="O12">
        <v>0.33785987657142802</v>
      </c>
      <c r="P12" s="2" t="s">
        <v>27</v>
      </c>
      <c r="Q12" s="2" t="s">
        <v>27</v>
      </c>
      <c r="S12" s="2">
        <f t="shared" si="0"/>
        <v>0.39033702634254991</v>
      </c>
      <c r="T12" s="5">
        <f t="shared" si="1"/>
        <v>0.26264175945583806</v>
      </c>
      <c r="U12" s="2" cm="1">
        <f t="array" ref="U12">SUMPRODUCT(B$2:Q$2, B12:Q12, --ISNUMBER(B12:Q12)) /
 SUMPRODUCT(B$2:Q$2, --ISNUMBER(B12:Q12))</f>
        <v>0.3725819949710531</v>
      </c>
      <c r="V12" s="2">
        <f t="shared" si="3"/>
        <v>0.24560799127163016</v>
      </c>
      <c r="W12" s="11">
        <v>25.212400354435299</v>
      </c>
      <c r="X12" s="2">
        <f t="shared" si="4"/>
        <v>0.25212400354435299</v>
      </c>
      <c r="AA12" s="2">
        <f t="shared" si="5"/>
        <v>0.21382535940787012</v>
      </c>
      <c r="AD12" s="2">
        <f t="shared" si="2"/>
        <v>0.24560799127163016</v>
      </c>
    </row>
    <row r="13" spans="1:30" x14ac:dyDescent="0.3">
      <c r="A13" s="2">
        <v>1909</v>
      </c>
      <c r="B13">
        <v>0.56671424270967796</v>
      </c>
      <c r="C13" s="2" t="s">
        <v>27</v>
      </c>
      <c r="D13">
        <v>8.9112582193548395E-2</v>
      </c>
      <c r="E13">
        <v>0.44500489277419403</v>
      </c>
      <c r="F13">
        <v>0.64377460790322605</v>
      </c>
      <c r="G13">
        <v>0.77935758587096804</v>
      </c>
      <c r="H13" t="s">
        <v>27</v>
      </c>
      <c r="I13" s="2" t="s">
        <v>27</v>
      </c>
      <c r="J13" s="2" t="s">
        <v>27</v>
      </c>
      <c r="K13" s="2" t="s">
        <v>27</v>
      </c>
      <c r="L13" s="2" t="s">
        <v>27</v>
      </c>
      <c r="M13" s="2" t="s">
        <v>27</v>
      </c>
      <c r="N13" s="2" t="s">
        <v>27</v>
      </c>
      <c r="O13">
        <v>0.38446123885714201</v>
      </c>
      <c r="P13" s="2" t="s">
        <v>27</v>
      </c>
      <c r="Q13" s="2" t="s">
        <v>27</v>
      </c>
      <c r="S13" s="2">
        <f t="shared" si="0"/>
        <v>0.48473752505145945</v>
      </c>
      <c r="T13" s="5">
        <f t="shared" si="1"/>
        <v>0.56800354616659821</v>
      </c>
      <c r="U13" s="2" cm="1">
        <f t="array" ref="U13">SUMPRODUCT(B$2:Q$2, B13:Q13, --ISNUMBER(B13:Q13)) /
 SUMPRODUCT(B$2:Q$2, --ISNUMBER(B13:Q13))</f>
        <v>0.46610028619061417</v>
      </c>
      <c r="V13" s="2">
        <f t="shared" si="3"/>
        <v>0.55825630075905719</v>
      </c>
      <c r="W13" s="11">
        <v>55.495788048865997</v>
      </c>
      <c r="X13" s="2">
        <f t="shared" si="4"/>
        <v>0.55495788048866002</v>
      </c>
      <c r="AA13" s="2">
        <f t="shared" si="5"/>
        <v>0.23956922475528275</v>
      </c>
      <c r="AD13" s="2">
        <f t="shared" si="2"/>
        <v>0.55825630075905719</v>
      </c>
    </row>
    <row r="14" spans="1:30" x14ac:dyDescent="0.3">
      <c r="A14" s="2">
        <v>1910</v>
      </c>
      <c r="B14">
        <v>0.45549415300000001</v>
      </c>
      <c r="C14" s="2" t="s">
        <v>27</v>
      </c>
      <c r="D14">
        <v>0.18797364493548399</v>
      </c>
      <c r="E14">
        <v>0.33531848525806501</v>
      </c>
      <c r="F14">
        <v>0.67238775264516104</v>
      </c>
      <c r="G14">
        <v>1.0801190318709699</v>
      </c>
      <c r="H14">
        <v>0.74495937906451604</v>
      </c>
      <c r="I14" s="2" t="s">
        <v>27</v>
      </c>
      <c r="J14" s="2" t="s">
        <v>27</v>
      </c>
      <c r="K14" s="2" t="s">
        <v>27</v>
      </c>
      <c r="L14" s="2" t="s">
        <v>27</v>
      </c>
      <c r="M14" s="2" t="s">
        <v>27</v>
      </c>
      <c r="N14" s="2" t="s">
        <v>27</v>
      </c>
      <c r="O14">
        <v>0.49513947428571398</v>
      </c>
      <c r="P14" s="2" t="s">
        <v>27</v>
      </c>
      <c r="Q14" s="2" t="s">
        <v>27</v>
      </c>
      <c r="S14" s="2">
        <f t="shared" si="0"/>
        <v>0.56734170300855846</v>
      </c>
      <c r="T14" s="5">
        <f t="shared" si="1"/>
        <v>0.83520721262744801</v>
      </c>
      <c r="U14" s="2" cm="1">
        <f t="array" ref="U14">SUMPRODUCT(B$2:Q$2, B14:Q14, --ISNUMBER(B14:Q14)) /
 SUMPRODUCT(B$2:Q$2, --ISNUMBER(B14:Q14))</f>
        <v>0.56742791709065887</v>
      </c>
      <c r="V14" s="2">
        <f t="shared" si="3"/>
        <v>0.89701262417056238</v>
      </c>
      <c r="W14" s="11">
        <v>81.994989966885896</v>
      </c>
      <c r="X14" s="2">
        <f t="shared" si="4"/>
        <v>0.81994989966885901</v>
      </c>
      <c r="AA14" s="2">
        <f t="shared" si="5"/>
        <v>0.29467531106964046</v>
      </c>
      <c r="AD14" s="2">
        <f t="shared" si="2"/>
        <v>0.89701262417056238</v>
      </c>
    </row>
    <row r="15" spans="1:30" x14ac:dyDescent="0.3">
      <c r="A15" s="2">
        <v>1911</v>
      </c>
      <c r="B15" t="s">
        <v>27</v>
      </c>
      <c r="C15" s="2" t="s">
        <v>27</v>
      </c>
      <c r="D15">
        <v>9.9663878677419299E-2</v>
      </c>
      <c r="E15">
        <v>0.19711115258064499</v>
      </c>
      <c r="F15">
        <v>0.24118808138709699</v>
      </c>
      <c r="G15">
        <v>0.78033841758064504</v>
      </c>
      <c r="H15">
        <v>0.46831938683870999</v>
      </c>
      <c r="I15" s="2" t="s">
        <v>27</v>
      </c>
      <c r="J15" s="2" t="s">
        <v>27</v>
      </c>
      <c r="K15" s="2" t="s">
        <v>27</v>
      </c>
      <c r="L15" s="2" t="s">
        <v>27</v>
      </c>
      <c r="M15" s="2" t="s">
        <v>27</v>
      </c>
      <c r="N15" s="2" t="s">
        <v>27</v>
      </c>
      <c r="O15">
        <v>0.43688777142857099</v>
      </c>
      <c r="P15" s="2" t="s">
        <v>27</v>
      </c>
      <c r="Q15" s="2" t="s">
        <v>27</v>
      </c>
      <c r="S15" s="2">
        <f t="shared" si="0"/>
        <v>0.37058478141551454</v>
      </c>
      <c r="T15" s="5">
        <f t="shared" si="1"/>
        <v>0.19874823256815852</v>
      </c>
      <c r="U15" s="2" cm="1">
        <f t="array" ref="U15">SUMPRODUCT(B$2:Q$2, B15:Q15, --ISNUMBER(B15:Q15)) /
 SUMPRODUCT(B$2:Q$2, --ISNUMBER(B15:Q15))</f>
        <v>0.42218809591129658</v>
      </c>
      <c r="V15" s="2">
        <f t="shared" si="3"/>
        <v>0.41145002492061261</v>
      </c>
      <c r="W15" s="11">
        <v>18.871063868549001</v>
      </c>
      <c r="X15" s="2">
        <f t="shared" si="4"/>
        <v>0.18871063868549001</v>
      </c>
      <c r="AA15" s="2">
        <f t="shared" si="5"/>
        <v>0.24579703958845889</v>
      </c>
      <c r="AD15" s="2">
        <f t="shared" si="2"/>
        <v>0.41145002492061261</v>
      </c>
    </row>
    <row r="16" spans="1:30" x14ac:dyDescent="0.3">
      <c r="A16" s="2">
        <v>1912</v>
      </c>
      <c r="B16">
        <v>0.280245586258065</v>
      </c>
      <c r="C16" s="2" t="s">
        <v>27</v>
      </c>
      <c r="D16">
        <v>2.24023908387097E-2</v>
      </c>
      <c r="E16">
        <v>0.15031599048387101</v>
      </c>
      <c r="F16">
        <v>8.3399772806451597E-2</v>
      </c>
      <c r="G16">
        <v>0.47264907293548403</v>
      </c>
      <c r="H16">
        <v>0.457947197935484</v>
      </c>
      <c r="I16" s="2" t="s">
        <v>27</v>
      </c>
      <c r="J16" s="2" t="s">
        <v>27</v>
      </c>
      <c r="K16" s="2" t="s">
        <v>27</v>
      </c>
      <c r="L16" s="2" t="s">
        <v>27</v>
      </c>
      <c r="M16" s="2" t="s">
        <v>27</v>
      </c>
      <c r="N16" s="2" t="s">
        <v>27</v>
      </c>
      <c r="O16">
        <v>0.37863606857142801</v>
      </c>
      <c r="P16" s="2" t="s">
        <v>27</v>
      </c>
      <c r="Q16" s="2" t="s">
        <v>27</v>
      </c>
      <c r="S16" s="2">
        <f t="shared" si="0"/>
        <v>0.26365658283278476</v>
      </c>
      <c r="T16" s="5">
        <f t="shared" si="1"/>
        <v>-0.14713750125269109</v>
      </c>
      <c r="U16" s="2" cm="1">
        <f t="array" ref="U16">SUMPRODUCT(B$2:Q$2, B16:Q16, --ISNUMBER(B16:Q16)) /
 SUMPRODUCT(B$2:Q$2, --ISNUMBER(B16:Q16))</f>
        <v>0.32230209173623786</v>
      </c>
      <c r="V16" s="2">
        <f t="shared" si="3"/>
        <v>7.7513316502077836E-2</v>
      </c>
      <c r="W16" s="11">
        <v>-15.428500718001599</v>
      </c>
      <c r="X16" s="2">
        <f t="shared" si="4"/>
        <v>-0.154285007180016</v>
      </c>
      <c r="AA16" s="2">
        <f t="shared" si="5"/>
        <v>0.18187192095962529</v>
      </c>
      <c r="AD16" s="2">
        <f t="shared" si="2"/>
        <v>7.7513316502077836E-2</v>
      </c>
    </row>
    <row r="17" spans="1:30" x14ac:dyDescent="0.3">
      <c r="A17" s="2">
        <v>1913</v>
      </c>
      <c r="B17">
        <v>0.32076468645161299</v>
      </c>
      <c r="C17" s="2" t="s">
        <v>27</v>
      </c>
      <c r="D17">
        <v>5.9790681806451598E-2</v>
      </c>
      <c r="E17">
        <v>0.18966912938709701</v>
      </c>
      <c r="F17">
        <v>0.16340094145161299</v>
      </c>
      <c r="G17">
        <v>0.53112029151612905</v>
      </c>
      <c r="H17">
        <v>0.50519580651612905</v>
      </c>
      <c r="I17" s="2" t="s">
        <v>27</v>
      </c>
      <c r="J17" s="2" t="s">
        <v>27</v>
      </c>
      <c r="K17" s="2" t="s">
        <v>27</v>
      </c>
      <c r="L17" s="2" t="s">
        <v>27</v>
      </c>
      <c r="M17" s="2" t="s">
        <v>27</v>
      </c>
      <c r="N17" s="2" t="s">
        <v>27</v>
      </c>
      <c r="O17">
        <v>0.40776192</v>
      </c>
      <c r="P17" s="2" t="s">
        <v>27</v>
      </c>
      <c r="Q17" s="2" t="s">
        <v>27</v>
      </c>
      <c r="S17" s="2">
        <f t="shared" si="0"/>
        <v>0.31110049387557609</v>
      </c>
      <c r="T17" s="5">
        <f t="shared" si="1"/>
        <v>6.3315761644368628E-3</v>
      </c>
      <c r="U17" s="2" cm="1">
        <f t="array" ref="U17">SUMPRODUCT(B$2:Q$2, B17:Q17, --ISNUMBER(B17:Q17)) /
 SUMPRODUCT(B$2:Q$2, --ISNUMBER(B17:Q17))</f>
        <v>0.3627334377063014</v>
      </c>
      <c r="V17" s="2">
        <f t="shared" si="3"/>
        <v>0.21268250964060267</v>
      </c>
      <c r="W17" s="11">
        <v>-0.20871018844226899</v>
      </c>
      <c r="X17" s="2">
        <f t="shared" si="4"/>
        <v>-2.0871018844226901E-3</v>
      </c>
      <c r="AA17" s="2">
        <f t="shared" si="5"/>
        <v>0.18038656886964072</v>
      </c>
      <c r="AD17" s="2">
        <f t="shared" si="2"/>
        <v>0.21268250964060267</v>
      </c>
    </row>
    <row r="18" spans="1:30" x14ac:dyDescent="0.3">
      <c r="A18" s="2">
        <v>1914</v>
      </c>
      <c r="B18">
        <v>0.33431714996774198</v>
      </c>
      <c r="C18" s="2" t="s">
        <v>27</v>
      </c>
      <c r="D18">
        <v>0.12982682509677401</v>
      </c>
      <c r="E18">
        <v>0.18619696574193501</v>
      </c>
      <c r="F18">
        <v>0.41357205600000002</v>
      </c>
      <c r="G18">
        <v>0.49435152332258098</v>
      </c>
      <c r="H18">
        <v>0.47274232909677399</v>
      </c>
      <c r="I18" s="2" t="s">
        <v>27</v>
      </c>
      <c r="J18" s="2" t="s">
        <v>27</v>
      </c>
      <c r="K18">
        <v>0.30849084915370001</v>
      </c>
      <c r="L18" s="2" t="s">
        <v>27</v>
      </c>
      <c r="M18" s="2" t="s">
        <v>27</v>
      </c>
      <c r="N18" s="2" t="s">
        <v>27</v>
      </c>
      <c r="O18">
        <v>0.50190418816589799</v>
      </c>
      <c r="P18" s="2" t="s">
        <v>27</v>
      </c>
      <c r="Q18" s="2" t="s">
        <v>27</v>
      </c>
      <c r="S18" s="2">
        <f t="shared" si="0"/>
        <v>0.35517523581817551</v>
      </c>
      <c r="T18" s="5">
        <f t="shared" si="1"/>
        <v>0.14890224191810836</v>
      </c>
      <c r="U18" s="2" cm="1">
        <f t="array" ref="U18">SUMPRODUCT(B$2:Q$2, B18:Q18, --ISNUMBER(B18:Q18)) /
 SUMPRODUCT(B$2:Q$2, --ISNUMBER(B18:Q18))</f>
        <v>0.37102112088960287</v>
      </c>
      <c r="V18" s="2">
        <f t="shared" si="3"/>
        <v>0.24038971111997059</v>
      </c>
      <c r="W18" s="11">
        <v>13.9024535223167</v>
      </c>
      <c r="X18" s="2">
        <f t="shared" si="4"/>
        <v>0.13902453522316699</v>
      </c>
      <c r="AA18" s="2">
        <f t="shared" si="5"/>
        <v>0.14146260897500135</v>
      </c>
      <c r="AD18" s="2">
        <f t="shared" si="2"/>
        <v>0.24038971111997059</v>
      </c>
    </row>
    <row r="19" spans="1:30" x14ac:dyDescent="0.3">
      <c r="A19" s="2">
        <v>1915</v>
      </c>
      <c r="B19">
        <v>0.32901025429032299</v>
      </c>
      <c r="C19" s="2" t="s">
        <v>27</v>
      </c>
      <c r="D19">
        <v>7.4910383903225894E-2</v>
      </c>
      <c r="E19">
        <v>0.190576693064516</v>
      </c>
      <c r="F19">
        <v>0.393448370129032</v>
      </c>
      <c r="G19">
        <v>0.443273788419355</v>
      </c>
      <c r="H19">
        <v>0.38154282170967702</v>
      </c>
      <c r="I19" s="2" t="s">
        <v>27</v>
      </c>
      <c r="J19" s="2" t="s">
        <v>27</v>
      </c>
      <c r="K19">
        <v>0.336113430831119</v>
      </c>
      <c r="L19" s="2" t="s">
        <v>27</v>
      </c>
      <c r="M19" s="2" t="s">
        <v>27</v>
      </c>
      <c r="N19" s="2" t="s">
        <v>27</v>
      </c>
      <c r="O19">
        <v>0.46601362285714198</v>
      </c>
      <c r="P19" s="2" t="s">
        <v>27</v>
      </c>
      <c r="Q19" s="2" t="s">
        <v>27</v>
      </c>
      <c r="S19" s="2">
        <f t="shared" si="0"/>
        <v>0.32686117065054876</v>
      </c>
      <c r="T19" s="5">
        <f t="shared" si="1"/>
        <v>5.7313387548895284E-2</v>
      </c>
      <c r="U19" s="2" cm="1">
        <f t="array" ref="U19">SUMPRODUCT(B$2:Q$2, B19:Q19, --ISNUMBER(B19:Q19)) /
 SUMPRODUCT(B$2:Q$2, --ISNUMBER(B19:Q19))</f>
        <v>0.36298991893551019</v>
      </c>
      <c r="V19" s="2">
        <f t="shared" si="3"/>
        <v>0.2135399720865227</v>
      </c>
      <c r="W19" s="11">
        <v>4.8174938978703503</v>
      </c>
      <c r="X19" s="2">
        <f t="shared" si="4"/>
        <v>4.8174938978703501E-2</v>
      </c>
      <c r="AA19" s="2">
        <f t="shared" si="5"/>
        <v>0.13227791159971081</v>
      </c>
      <c r="AD19" s="2">
        <f t="shared" si="2"/>
        <v>0.2135399720865227</v>
      </c>
    </row>
    <row r="20" spans="1:30" x14ac:dyDescent="0.3">
      <c r="A20" s="2">
        <v>1916</v>
      </c>
      <c r="B20">
        <v>0.28410043251612899</v>
      </c>
      <c r="C20" s="2" t="s">
        <v>27</v>
      </c>
      <c r="D20">
        <v>9.23429609354839E-2</v>
      </c>
      <c r="E20">
        <v>0.166687270967742</v>
      </c>
      <c r="F20">
        <v>0.38172953164516099</v>
      </c>
      <c r="G20">
        <v>0.50604080090322601</v>
      </c>
      <c r="H20">
        <v>0.317393449064516</v>
      </c>
      <c r="I20" s="2" t="s">
        <v>27</v>
      </c>
      <c r="J20" s="2" t="s">
        <v>27</v>
      </c>
      <c r="K20">
        <v>0.246630193548387</v>
      </c>
      <c r="L20" s="2" t="s">
        <v>27</v>
      </c>
      <c r="M20" s="2" t="s">
        <v>27</v>
      </c>
      <c r="N20" s="2" t="s">
        <v>27</v>
      </c>
      <c r="O20">
        <v>0.37863606857142801</v>
      </c>
      <c r="P20" s="2" t="s">
        <v>27</v>
      </c>
      <c r="Q20" s="2" t="s">
        <v>27</v>
      </c>
      <c r="S20" s="2">
        <f t="shared" si="0"/>
        <v>0.29669508851900911</v>
      </c>
      <c r="T20" s="5">
        <f t="shared" si="1"/>
        <v>-4.026627425093264E-2</v>
      </c>
      <c r="U20" s="2" cm="1">
        <f t="array" ref="U20">SUMPRODUCT(B$2:Q$2, B20:Q20, --ISNUMBER(B20:Q20)) /
 SUMPRODUCT(B$2:Q$2, --ISNUMBER(B20:Q20))</f>
        <v>0.30042021280199055</v>
      </c>
      <c r="V20" s="2">
        <f t="shared" si="3"/>
        <v>4.3582965804780166E-3</v>
      </c>
      <c r="W20" s="11">
        <v>-4.8494020447797004</v>
      </c>
      <c r="X20" s="2">
        <f t="shared" si="4"/>
        <v>-4.8494020447797007E-2</v>
      </c>
      <c r="AA20" s="2">
        <f t="shared" si="5"/>
        <v>0.13067198513467662</v>
      </c>
      <c r="AD20" s="2">
        <f t="shared" si="2"/>
        <v>4.3582965804780166E-3</v>
      </c>
    </row>
    <row r="21" spans="1:30" x14ac:dyDescent="0.3">
      <c r="A21" s="2">
        <v>1917</v>
      </c>
      <c r="B21">
        <v>0.31402302722580699</v>
      </c>
      <c r="C21" s="2" t="s">
        <v>27</v>
      </c>
      <c r="D21">
        <v>8.9112582225806494E-2</v>
      </c>
      <c r="E21">
        <v>0.155058743580645</v>
      </c>
      <c r="F21">
        <v>0.33900019254838698</v>
      </c>
      <c r="G21">
        <v>0.58352028661290301</v>
      </c>
      <c r="H21">
        <v>0.46558986335483898</v>
      </c>
      <c r="I21" s="2" t="s">
        <v>27</v>
      </c>
      <c r="J21" s="2" t="s">
        <v>27</v>
      </c>
      <c r="K21">
        <v>0.29746502873624198</v>
      </c>
      <c r="L21" s="2" t="s">
        <v>27</v>
      </c>
      <c r="M21" s="2" t="s">
        <v>27</v>
      </c>
      <c r="N21" s="2" t="s">
        <v>27</v>
      </c>
      <c r="O21">
        <v>0.28562125271889399</v>
      </c>
      <c r="P21" s="2" t="s">
        <v>27</v>
      </c>
      <c r="Q21" s="2" t="s">
        <v>27</v>
      </c>
      <c r="S21" s="2">
        <f t="shared" si="0"/>
        <v>0.31617387212544046</v>
      </c>
      <c r="T21" s="5">
        <f t="shared" si="1"/>
        <v>2.2742674286017846E-2</v>
      </c>
      <c r="U21" s="2" cm="1">
        <f t="array" ref="U21">SUMPRODUCT(B$2:Q$2, B21:Q21, --ISNUMBER(B21:Q21)) /
 SUMPRODUCT(B$2:Q$2, --ISNUMBER(B21:Q21))</f>
        <v>0.30878901157012861</v>
      </c>
      <c r="V21" s="2">
        <f t="shared" si="3"/>
        <v>3.2336681912133222E-2</v>
      </c>
      <c r="W21" s="11">
        <v>1.39833495935203</v>
      </c>
      <c r="X21" s="2">
        <f t="shared" si="4"/>
        <v>1.39833495935203E-2</v>
      </c>
      <c r="AA21" s="2">
        <f t="shared" si="5"/>
        <v>0.15726379485376671</v>
      </c>
      <c r="AD21" s="2">
        <f t="shared" si="2"/>
        <v>3.2336681912133222E-2</v>
      </c>
    </row>
    <row r="22" spans="1:30" x14ac:dyDescent="0.3">
      <c r="A22" s="2">
        <v>1918</v>
      </c>
      <c r="B22">
        <v>0.43283180609677402</v>
      </c>
      <c r="C22" s="2" t="s">
        <v>27</v>
      </c>
      <c r="D22">
        <v>0.112910343774194</v>
      </c>
      <c r="E22">
        <v>0.11626185393548399</v>
      </c>
      <c r="F22">
        <v>0.37366313525806499</v>
      </c>
      <c r="G22">
        <v>0.56310905754838703</v>
      </c>
      <c r="H22">
        <v>0.49379865306451598</v>
      </c>
      <c r="I22" s="2" t="s">
        <v>27</v>
      </c>
      <c r="J22" s="2" t="s">
        <v>27</v>
      </c>
      <c r="K22">
        <v>0.36861058574573002</v>
      </c>
      <c r="L22" s="2" t="s">
        <v>27</v>
      </c>
      <c r="M22" s="2" t="s">
        <v>27</v>
      </c>
      <c r="N22" s="2" t="s">
        <v>27</v>
      </c>
      <c r="O22">
        <v>0.38446123885714201</v>
      </c>
      <c r="P22" s="2" t="s">
        <v>27</v>
      </c>
      <c r="Q22" s="2" t="s">
        <v>27</v>
      </c>
      <c r="S22" s="2">
        <f t="shared" si="0"/>
        <v>0.35570583428503649</v>
      </c>
      <c r="T22" s="5">
        <f t="shared" si="1"/>
        <v>0.15061859403576269</v>
      </c>
      <c r="U22" s="2" cm="1">
        <f t="array" ref="U22">SUMPRODUCT(B$2:Q$2, B22:Q22, --ISNUMBER(B22:Q22)) /
 SUMPRODUCT(B$2:Q$2, --ISNUMBER(B22:Q22))</f>
        <v>0.36724539069888917</v>
      </c>
      <c r="V22" s="2">
        <f t="shared" si="3"/>
        <v>0.22776677237918702</v>
      </c>
      <c r="W22" s="11">
        <v>14.0712414050432</v>
      </c>
      <c r="X22" s="2">
        <f t="shared" si="4"/>
        <v>0.140712414050432</v>
      </c>
      <c r="AA22" s="2">
        <f t="shared" si="5"/>
        <v>0.16284658847474268</v>
      </c>
      <c r="AD22" s="2">
        <f t="shared" si="2"/>
        <v>0.22776677237918702</v>
      </c>
    </row>
    <row r="23" spans="1:30" x14ac:dyDescent="0.3">
      <c r="A23" s="2">
        <v>1919</v>
      </c>
      <c r="B23">
        <v>0.35006497487096799</v>
      </c>
      <c r="C23" s="2" t="s">
        <v>27</v>
      </c>
      <c r="D23">
        <v>0.14892237838709699</v>
      </c>
      <c r="E23">
        <v>0.16000643019354799</v>
      </c>
      <c r="F23">
        <v>0.27788172545161299</v>
      </c>
      <c r="G23">
        <v>0.49903220058064501</v>
      </c>
      <c r="H23">
        <v>0.38879555551612899</v>
      </c>
      <c r="I23" s="2" t="s">
        <v>27</v>
      </c>
      <c r="J23" s="2" t="s">
        <v>27</v>
      </c>
      <c r="K23">
        <v>0.285742840713472</v>
      </c>
      <c r="L23" s="2" t="s">
        <v>27</v>
      </c>
      <c r="M23" s="2" t="s">
        <v>27</v>
      </c>
      <c r="N23" s="2" t="s">
        <v>27</v>
      </c>
      <c r="O23">
        <v>0.29125851428571398</v>
      </c>
      <c r="P23" s="2" t="s">
        <v>27</v>
      </c>
      <c r="Q23" s="2" t="s">
        <v>27</v>
      </c>
      <c r="S23" s="2">
        <f t="shared" si="0"/>
        <v>0.30021307749989828</v>
      </c>
      <c r="T23" s="5">
        <f t="shared" si="1"/>
        <v>-2.8886467835442846E-2</v>
      </c>
      <c r="U23" s="2" cm="1">
        <f t="array" ref="U23">SUMPRODUCT(B$2:Q$2, B23:Q23, --ISNUMBER(B23:Q23)) /
 SUMPRODUCT(B$2:Q$2, --ISNUMBER(B23:Q23))</f>
        <v>0.29601914613893709</v>
      </c>
      <c r="V23" s="2">
        <f t="shared" si="3"/>
        <v>-1.0355253402108935E-2</v>
      </c>
      <c r="W23" s="11">
        <v>-3.7213309070715601</v>
      </c>
      <c r="X23" s="2">
        <f t="shared" si="4"/>
        <v>-3.72133090707156E-2</v>
      </c>
      <c r="AA23" s="2">
        <f t="shared" si="5"/>
        <v>0.11538516345071188</v>
      </c>
      <c r="AD23" s="2">
        <f t="shared" si="2"/>
        <v>-1.0355253402108935E-2</v>
      </c>
    </row>
    <row r="24" spans="1:30" x14ac:dyDescent="0.3">
      <c r="A24" s="2">
        <v>1920</v>
      </c>
      <c r="B24">
        <v>0.352122045129032</v>
      </c>
      <c r="C24" s="2" t="s">
        <v>27</v>
      </c>
      <c r="D24">
        <v>0.17566379870967699</v>
      </c>
      <c r="E24">
        <v>0.17272988945161299</v>
      </c>
      <c r="F24">
        <v>0.234094729419355</v>
      </c>
      <c r="G24">
        <v>0.57059565793548395</v>
      </c>
      <c r="H24">
        <v>0.59570457732258097</v>
      </c>
      <c r="I24" s="2" t="s">
        <v>27</v>
      </c>
      <c r="J24" s="2" t="s">
        <v>27</v>
      </c>
      <c r="K24">
        <v>0.25022809284250402</v>
      </c>
      <c r="L24" s="2" t="s">
        <v>27</v>
      </c>
      <c r="M24" s="2" t="s">
        <v>27</v>
      </c>
      <c r="N24" s="2" t="s">
        <v>27</v>
      </c>
      <c r="O24">
        <v>0.327336988313364</v>
      </c>
      <c r="P24" s="2" t="s">
        <v>27</v>
      </c>
      <c r="Q24" s="2" t="s">
        <v>27</v>
      </c>
      <c r="S24" s="2">
        <f t="shared" si="0"/>
        <v>0.33480947239045117</v>
      </c>
      <c r="T24" s="5">
        <f t="shared" si="1"/>
        <v>8.302413753229311E-2</v>
      </c>
      <c r="U24" s="2" cm="1">
        <f t="array" ref="U24">SUMPRODUCT(B$2:Q$2, B24:Q24, --ISNUMBER(B24:Q24)) /
 SUMPRODUCT(B$2:Q$2, --ISNUMBER(B24:Q24))</f>
        <v>0.30578806570704559</v>
      </c>
      <c r="V24" s="2">
        <f t="shared" si="3"/>
        <v>2.2303985220173721E-2</v>
      </c>
      <c r="W24" s="11">
        <v>7.3798206423910901</v>
      </c>
      <c r="X24" s="2">
        <f t="shared" si="4"/>
        <v>7.3798206423910898E-2</v>
      </c>
      <c r="AA24" s="2">
        <f t="shared" si="5"/>
        <v>0.16600841206716774</v>
      </c>
      <c r="AD24" s="2">
        <f t="shared" si="2"/>
        <v>2.2303985220173721E-2</v>
      </c>
    </row>
    <row r="25" spans="1:30" x14ac:dyDescent="0.3">
      <c r="A25" s="2">
        <v>1921</v>
      </c>
      <c r="B25">
        <v>0.45710177874193603</v>
      </c>
      <c r="C25" s="2" t="s">
        <v>27</v>
      </c>
      <c r="D25">
        <v>0.22058326880645199</v>
      </c>
      <c r="E25">
        <v>0.25593299899999999</v>
      </c>
      <c r="F25">
        <v>0.30093864587096802</v>
      </c>
      <c r="G25">
        <v>0.666146033935483</v>
      </c>
      <c r="H25">
        <v>0.70042915248387105</v>
      </c>
      <c r="I25" s="2" t="s">
        <v>27</v>
      </c>
      <c r="J25" s="2" t="s">
        <v>27</v>
      </c>
      <c r="K25">
        <v>0.33425645055028402</v>
      </c>
      <c r="L25" s="2" t="s">
        <v>27</v>
      </c>
      <c r="M25" s="2" t="s">
        <v>27</v>
      </c>
      <c r="N25" s="2" t="s">
        <v>27</v>
      </c>
      <c r="O25">
        <v>0.40776192</v>
      </c>
      <c r="P25" s="2" t="s">
        <v>27</v>
      </c>
      <c r="Q25" s="2" t="s">
        <v>27</v>
      </c>
      <c r="S25" s="2">
        <f t="shared" si="0"/>
        <v>0.41789378117362425</v>
      </c>
      <c r="T25" s="5">
        <f t="shared" si="1"/>
        <v>0.35178090603084489</v>
      </c>
      <c r="U25" s="2" cm="1">
        <f t="array" ref="U25">SUMPRODUCT(B$2:Q$2, B25:Q25, --ISNUMBER(B25:Q25)) /
 SUMPRODUCT(B$2:Q$2, --ISNUMBER(B25:Q25))</f>
        <v>0.3894763217461974</v>
      </c>
      <c r="V25" s="2">
        <f t="shared" si="3"/>
        <v>0.30208873570456751</v>
      </c>
      <c r="W25" s="11">
        <v>34.024613830305299</v>
      </c>
      <c r="X25" s="2">
        <f t="shared" si="4"/>
        <v>0.340246138303053</v>
      </c>
      <c r="AA25" s="2">
        <f t="shared" si="5"/>
        <v>0.18084396539055586</v>
      </c>
      <c r="AD25" s="2">
        <f t="shared" si="2"/>
        <v>0.30208873570456751</v>
      </c>
    </row>
    <row r="26" spans="1:30" x14ac:dyDescent="0.3">
      <c r="A26" s="2">
        <v>1922</v>
      </c>
      <c r="B26">
        <v>0.46915033396774197</v>
      </c>
      <c r="C26" s="2" t="s">
        <v>27</v>
      </c>
      <c r="D26">
        <v>0.35763543819354798</v>
      </c>
      <c r="E26">
        <v>0.23473699229032299</v>
      </c>
      <c r="F26">
        <v>0.39739695616129</v>
      </c>
      <c r="G26">
        <v>0.63905521783871</v>
      </c>
      <c r="H26">
        <v>0.54868992783870996</v>
      </c>
      <c r="I26" s="2" t="s">
        <v>27</v>
      </c>
      <c r="J26" s="2" t="s">
        <v>27</v>
      </c>
      <c r="K26">
        <v>0.403428966011385</v>
      </c>
      <c r="L26">
        <v>0.62738447502503703</v>
      </c>
      <c r="M26" s="2" t="s">
        <v>27</v>
      </c>
      <c r="N26" s="2" t="s">
        <v>27</v>
      </c>
      <c r="O26">
        <v>0.40776192</v>
      </c>
      <c r="P26">
        <v>0.369557332714751</v>
      </c>
      <c r="Q26" s="2" t="s">
        <v>27</v>
      </c>
      <c r="S26" s="2">
        <f t="shared" si="0"/>
        <v>0.44547975600414957</v>
      </c>
      <c r="T26" s="5">
        <f t="shared" si="1"/>
        <v>0.44101457192897053</v>
      </c>
      <c r="U26" s="2" cm="1">
        <f t="array" ref="U26">SUMPRODUCT(B$2:Q$2, B26:Q26, --ISNUMBER(B26:Q26)) /
 SUMPRODUCT(B$2:Q$2, --ISNUMBER(B26:Q26))</f>
        <v>0.45655808658248775</v>
      </c>
      <c r="V26" s="2">
        <f t="shared" si="3"/>
        <v>0.52635502735717221</v>
      </c>
      <c r="W26" s="11">
        <v>42.814154963587399</v>
      </c>
      <c r="X26" s="2">
        <f t="shared" si="4"/>
        <v>0.42814154963587397</v>
      </c>
      <c r="AA26" s="2">
        <f t="shared" si="5"/>
        <v>0.12700377631211843</v>
      </c>
      <c r="AD26" s="2">
        <f t="shared" si="2"/>
        <v>0.52635502735717221</v>
      </c>
    </row>
    <row r="27" spans="1:30" x14ac:dyDescent="0.3">
      <c r="A27" s="2">
        <v>1923</v>
      </c>
      <c r="B27">
        <v>0.43233050312903198</v>
      </c>
      <c r="C27" s="2" t="s">
        <v>27</v>
      </c>
      <c r="D27">
        <v>0.29283671380645199</v>
      </c>
      <c r="E27">
        <v>0.25558168387096802</v>
      </c>
      <c r="F27">
        <v>0.52079026196774203</v>
      </c>
      <c r="G27">
        <v>0.63263635809677399</v>
      </c>
      <c r="H27">
        <v>0.52150610200000003</v>
      </c>
      <c r="I27" s="2" t="s">
        <v>27</v>
      </c>
      <c r="J27" s="2" t="s">
        <v>27</v>
      </c>
      <c r="K27">
        <v>0.38868918503225802</v>
      </c>
      <c r="L27">
        <v>0.594049332619075</v>
      </c>
      <c r="M27" s="2" t="s">
        <v>27</v>
      </c>
      <c r="N27" s="2" t="s">
        <v>27</v>
      </c>
      <c r="O27">
        <v>0.419412260571428</v>
      </c>
      <c r="P27">
        <v>0.33696889365712202</v>
      </c>
      <c r="Q27" s="2" t="s">
        <v>27</v>
      </c>
      <c r="S27" s="2">
        <f t="shared" si="0"/>
        <v>0.43948012947508514</v>
      </c>
      <c r="T27" s="5">
        <f t="shared" si="1"/>
        <v>0.42160729440852368</v>
      </c>
      <c r="U27" s="2" cm="1">
        <f t="array" ref="U27">SUMPRODUCT(B$2:Q$2, B27:Q27, --ISNUMBER(B27:Q27)) /
 SUMPRODUCT(B$2:Q$2, --ISNUMBER(B27:Q27))</f>
        <v>0.44332637353185</v>
      </c>
      <c r="V27" s="2">
        <f t="shared" si="3"/>
        <v>0.48211905316478543</v>
      </c>
      <c r="W27" s="11">
        <v>40.893825376201598</v>
      </c>
      <c r="X27" s="2">
        <f t="shared" si="4"/>
        <v>0.40893825376201598</v>
      </c>
      <c r="AA27" s="2">
        <f t="shared" si="5"/>
        <v>0.12622977493033619</v>
      </c>
      <c r="AD27" s="2">
        <f t="shared" si="2"/>
        <v>0.48211905316478543</v>
      </c>
    </row>
    <row r="28" spans="1:30" x14ac:dyDescent="0.3">
      <c r="A28" s="2">
        <v>1924</v>
      </c>
      <c r="B28">
        <v>0.50112999919354795</v>
      </c>
      <c r="C28" s="2" t="s">
        <v>27</v>
      </c>
      <c r="D28">
        <v>0.227464549129032</v>
      </c>
      <c r="E28">
        <v>0.156452293193548</v>
      </c>
      <c r="F28">
        <v>0.348039633709678</v>
      </c>
      <c r="G28">
        <v>0.53250462977419399</v>
      </c>
      <c r="H28">
        <v>0.43683516906451603</v>
      </c>
      <c r="I28" s="2" t="s">
        <v>27</v>
      </c>
      <c r="J28" s="2" t="s">
        <v>27</v>
      </c>
      <c r="K28">
        <v>0.36733391180265601</v>
      </c>
      <c r="L28">
        <v>0.65302689226039301</v>
      </c>
      <c r="M28" s="2" t="s">
        <v>27</v>
      </c>
      <c r="N28" s="2" t="s">
        <v>27</v>
      </c>
      <c r="O28">
        <v>0.34951021714285702</v>
      </c>
      <c r="P28">
        <v>0.289748910532801</v>
      </c>
      <c r="Q28" s="2" t="s">
        <v>27</v>
      </c>
      <c r="S28" s="2">
        <f t="shared" si="0"/>
        <v>0.38620462058032234</v>
      </c>
      <c r="T28" s="5">
        <f t="shared" si="1"/>
        <v>0.24927446983103702</v>
      </c>
      <c r="U28" s="2" cm="1">
        <f t="array" ref="U28">SUMPRODUCT(B$2:Q$2, B28:Q28, --ISNUMBER(B28:Q28)) /
 SUMPRODUCT(B$2:Q$2, --ISNUMBER(B28:Q28))</f>
        <v>0.415313816917187</v>
      </c>
      <c r="V28" s="2">
        <f t="shared" si="3"/>
        <v>0.38846808546871059</v>
      </c>
      <c r="W28" s="11">
        <v>23.801308274350401</v>
      </c>
      <c r="X28" s="2">
        <f t="shared" si="4"/>
        <v>0.238013082743504</v>
      </c>
      <c r="AA28" s="2">
        <f t="shared" si="5"/>
        <v>0.14862948256387803</v>
      </c>
      <c r="AD28" s="2">
        <f t="shared" si="2"/>
        <v>0.38846808546871059</v>
      </c>
    </row>
    <row r="29" spans="1:30" x14ac:dyDescent="0.3">
      <c r="A29" s="2">
        <v>1925</v>
      </c>
      <c r="B29">
        <v>0.37269274887096798</v>
      </c>
      <c r="C29" s="2" t="s">
        <v>27</v>
      </c>
      <c r="D29">
        <v>0.18369195899999999</v>
      </c>
      <c r="E29">
        <v>0.14257534954838699</v>
      </c>
      <c r="F29">
        <v>0.277670193903226</v>
      </c>
      <c r="G29">
        <v>0.48625655916129001</v>
      </c>
      <c r="H29">
        <v>0.50245514183870998</v>
      </c>
      <c r="I29" s="2" t="s">
        <v>27</v>
      </c>
      <c r="J29" s="2" t="s">
        <v>27</v>
      </c>
      <c r="K29">
        <v>0.25951299424667901</v>
      </c>
      <c r="L29">
        <v>0.46213334173052201</v>
      </c>
      <c r="M29" s="2" t="s">
        <v>27</v>
      </c>
      <c r="N29" s="2" t="s">
        <v>27</v>
      </c>
      <c r="O29">
        <v>0.29783531944700398</v>
      </c>
      <c r="P29">
        <v>0.29174412108734998</v>
      </c>
      <c r="Q29" s="2" t="s">
        <v>27</v>
      </c>
      <c r="S29" s="2">
        <f t="shared" si="0"/>
        <v>0.32765677288341355</v>
      </c>
      <c r="T29" s="5">
        <f t="shared" si="1"/>
        <v>5.9886959962827169E-2</v>
      </c>
      <c r="U29" s="2" cm="1">
        <f t="array" ref="U29">SUMPRODUCT(B$2:Q$2, B29:Q29, --ISNUMBER(B29:Q29)) /
 SUMPRODUCT(B$2:Q$2, --ISNUMBER(B29:Q29))</f>
        <v>0.32898755174187055</v>
      </c>
      <c r="V29" s="2">
        <f t="shared" si="3"/>
        <v>9.986400043405351E-2</v>
      </c>
      <c r="W29" s="11">
        <v>5.0440638640420099</v>
      </c>
      <c r="X29" s="2">
        <f t="shared" si="4"/>
        <v>5.0440638640420102E-2</v>
      </c>
      <c r="AA29" s="2">
        <f t="shared" si="5"/>
        <v>0.12477660922544208</v>
      </c>
      <c r="AD29" s="2">
        <f t="shared" si="2"/>
        <v>9.986400043405351E-2</v>
      </c>
    </row>
    <row r="30" spans="1:30" x14ac:dyDescent="0.3">
      <c r="A30" s="2">
        <v>1926</v>
      </c>
      <c r="B30">
        <v>0.36197523929032299</v>
      </c>
      <c r="C30" s="2" t="s">
        <v>27</v>
      </c>
      <c r="D30">
        <v>0.18216278574193501</v>
      </c>
      <c r="E30">
        <v>0.11201094206451601</v>
      </c>
      <c r="F30">
        <v>0.261170746354839</v>
      </c>
      <c r="G30">
        <v>0.444291866806452</v>
      </c>
      <c r="H30">
        <v>0.55359192935483903</v>
      </c>
      <c r="I30" s="2" t="s">
        <v>27</v>
      </c>
      <c r="J30" s="2" t="s">
        <v>27</v>
      </c>
      <c r="K30">
        <v>0.28307343155977199</v>
      </c>
      <c r="L30">
        <v>0.47367242948643201</v>
      </c>
      <c r="M30" s="2" t="s">
        <v>27</v>
      </c>
      <c r="N30" s="2" t="s">
        <v>27</v>
      </c>
      <c r="O30">
        <v>0.29125851428571398</v>
      </c>
      <c r="P30">
        <v>0.25538695098223901</v>
      </c>
      <c r="Q30" s="2" t="s">
        <v>27</v>
      </c>
      <c r="S30" s="2">
        <f t="shared" si="0"/>
        <v>0.32185948359270611</v>
      </c>
      <c r="T30" s="5">
        <f t="shared" si="1"/>
        <v>4.1134192338703364E-2</v>
      </c>
      <c r="U30" s="2" cm="1">
        <f t="array" ref="U30">SUMPRODUCT(B$2:Q$2, B30:Q30, --ISNUMBER(B30:Q30)) /
 SUMPRODUCT(B$2:Q$2, --ISNUMBER(B30:Q30))</f>
        <v>0.32872107773963877</v>
      </c>
      <c r="V30" s="2">
        <f t="shared" si="3"/>
        <v>9.897313036752807E-2</v>
      </c>
      <c r="W30" s="11">
        <v>3.18249694776868</v>
      </c>
      <c r="X30" s="2">
        <f t="shared" si="4"/>
        <v>3.1824969477686801E-2</v>
      </c>
      <c r="AA30" s="2">
        <f t="shared" si="5"/>
        <v>0.1363981649519537</v>
      </c>
      <c r="AD30" s="2">
        <f t="shared" si="2"/>
        <v>9.897313036752807E-2</v>
      </c>
    </row>
    <row r="31" spans="1:30" x14ac:dyDescent="0.3">
      <c r="A31" s="2">
        <v>1927</v>
      </c>
      <c r="B31">
        <v>0.38946046522580602</v>
      </c>
      <c r="C31" s="2" t="s">
        <v>27</v>
      </c>
      <c r="D31">
        <v>0.154064224</v>
      </c>
      <c r="E31">
        <v>0.13824246422580599</v>
      </c>
      <c r="F31">
        <v>0.194326829419355</v>
      </c>
      <c r="G31">
        <v>0.49327136706451602</v>
      </c>
      <c r="H31">
        <v>0.421906346806451</v>
      </c>
      <c r="I31" s="2" t="s">
        <v>27</v>
      </c>
      <c r="J31" s="2" t="s">
        <v>27</v>
      </c>
      <c r="K31">
        <v>0.24628200974573</v>
      </c>
      <c r="L31">
        <v>0.43663338236869598</v>
      </c>
      <c r="M31" s="2" t="s">
        <v>27</v>
      </c>
      <c r="N31" s="2" t="s">
        <v>27</v>
      </c>
      <c r="O31">
        <v>0.32057227443317898</v>
      </c>
      <c r="P31">
        <v>0.29085736084088398</v>
      </c>
      <c r="Q31" s="2" t="s">
        <v>27</v>
      </c>
      <c r="S31" s="2">
        <f t="shared" si="0"/>
        <v>0.30856167241304233</v>
      </c>
      <c r="T31" s="5">
        <f t="shared" si="1"/>
        <v>-1.8808704702943635E-3</v>
      </c>
      <c r="U31" s="2" cm="1">
        <f t="array" ref="U31">SUMPRODUCT(B$2:Q$2, B31:Q31, --ISNUMBER(B31:Q31)) /
 SUMPRODUCT(B$2:Q$2, --ISNUMBER(B31:Q31))</f>
        <v>0.3191252931878425</v>
      </c>
      <c r="V31" s="2">
        <f t="shared" si="3"/>
        <v>6.6892712951847733E-2</v>
      </c>
      <c r="W31" s="11">
        <v>-1.07938657779087</v>
      </c>
      <c r="X31" s="2">
        <f t="shared" si="4"/>
        <v>-1.0793865777908701E-2</v>
      </c>
      <c r="AA31" s="2">
        <f t="shared" si="5"/>
        <v>0.12480020088554901</v>
      </c>
      <c r="AD31" s="2">
        <f t="shared" si="2"/>
        <v>6.6892712951847733E-2</v>
      </c>
    </row>
    <row r="32" spans="1:30" x14ac:dyDescent="0.3">
      <c r="A32" s="2">
        <v>1928</v>
      </c>
      <c r="B32">
        <v>0.447888178032258</v>
      </c>
      <c r="C32" s="2" t="s">
        <v>27</v>
      </c>
      <c r="D32">
        <v>0.15559339741935499</v>
      </c>
      <c r="E32">
        <v>0.18444039058064499</v>
      </c>
      <c r="F32">
        <v>0.37102604370967701</v>
      </c>
      <c r="G32">
        <v>0.62599401787096798</v>
      </c>
      <c r="H32">
        <v>0.61297299151612905</v>
      </c>
      <c r="I32" s="2" t="s">
        <v>27</v>
      </c>
      <c r="J32" s="2" t="s">
        <v>27</v>
      </c>
      <c r="K32">
        <v>0.27088699846679298</v>
      </c>
      <c r="L32">
        <v>0.57937617164551003</v>
      </c>
      <c r="M32" s="2" t="s">
        <v>27</v>
      </c>
      <c r="N32" s="2" t="s">
        <v>27</v>
      </c>
      <c r="O32">
        <v>0.34951021714285702</v>
      </c>
      <c r="P32">
        <v>0.34361959550561799</v>
      </c>
      <c r="Q32">
        <v>9.1455617541091994E-2</v>
      </c>
      <c r="S32" s="2">
        <f t="shared" si="0"/>
        <v>0.36661487449371838</v>
      </c>
      <c r="T32" s="5">
        <f t="shared" si="1"/>
        <v>0.18590658567757193</v>
      </c>
      <c r="U32" s="2" cm="1">
        <f t="array" ref="U32">SUMPRODUCT(B$2:Q$2, B32:Q32, --ISNUMBER(B32:Q32)) /
 SUMPRODUCT(B$2:Q$2, --ISNUMBER(B32:Q32))</f>
        <v>0.32861132324298431</v>
      </c>
      <c r="V32" s="2">
        <f t="shared" si="3"/>
        <v>9.8606201530504131E-2</v>
      </c>
      <c r="W32" s="11">
        <v>17.467493166277801</v>
      </c>
      <c r="X32" s="2">
        <f t="shared" si="4"/>
        <v>0.174674931662778</v>
      </c>
      <c r="AA32" s="2">
        <f t="shared" si="5"/>
        <v>0.1852774787067753</v>
      </c>
      <c r="AD32" s="2">
        <f t="shared" si="2"/>
        <v>9.8606201530504131E-2</v>
      </c>
    </row>
    <row r="33" spans="1:30" x14ac:dyDescent="0.3">
      <c r="A33" s="2">
        <v>1929</v>
      </c>
      <c r="B33">
        <v>0.40484527709677398</v>
      </c>
      <c r="C33" s="2" t="s">
        <v>27</v>
      </c>
      <c r="D33">
        <v>0.17184086500000001</v>
      </c>
      <c r="E33">
        <v>0.14602994725806501</v>
      </c>
      <c r="F33">
        <v>0.32984793464516099</v>
      </c>
      <c r="G33">
        <v>0.46347395277419401</v>
      </c>
      <c r="H33">
        <v>0.31539922522580699</v>
      </c>
      <c r="I33" s="2" t="s">
        <v>27</v>
      </c>
      <c r="J33" s="2" t="s">
        <v>27</v>
      </c>
      <c r="K33">
        <v>0.25185295058823498</v>
      </c>
      <c r="L33">
        <v>0.51911649114242397</v>
      </c>
      <c r="M33" s="2" t="s">
        <v>27</v>
      </c>
      <c r="N33" s="2" t="s">
        <v>27</v>
      </c>
      <c r="O33">
        <v>0.32038436571428502</v>
      </c>
      <c r="P33">
        <v>0.27489567640449403</v>
      </c>
      <c r="Q33">
        <v>7.5640906196854901E-2</v>
      </c>
      <c r="S33" s="2">
        <f t="shared" si="0"/>
        <v>0.29757523564057214</v>
      </c>
      <c r="T33" s="5">
        <f t="shared" si="1"/>
        <v>-3.7419220461126175E-2</v>
      </c>
      <c r="U33" s="2" cm="1">
        <f t="array" ref="U33">SUMPRODUCT(B$2:Q$2, B33:Q33, --ISNUMBER(B33:Q33)) /
 SUMPRODUCT(B$2:Q$2, --ISNUMBER(B33:Q33))</f>
        <v>0.28274709889408006</v>
      </c>
      <c r="V33" s="2">
        <f t="shared" si="3"/>
        <v>-5.4726071992022111E-2</v>
      </c>
      <c r="W33" s="11">
        <v>-4.6614815199317796</v>
      </c>
      <c r="X33" s="2">
        <f t="shared" si="4"/>
        <v>-4.6614815199317795E-2</v>
      </c>
      <c r="AA33" s="2">
        <f t="shared" si="5"/>
        <v>0.13439646382436135</v>
      </c>
      <c r="AD33" s="2">
        <f t="shared" si="2"/>
        <v>-5.4726071992022111E-2</v>
      </c>
    </row>
    <row r="34" spans="1:30" x14ac:dyDescent="0.3">
      <c r="A34" s="2">
        <v>1930</v>
      </c>
      <c r="B34">
        <v>0.42904610500000001</v>
      </c>
      <c r="C34" s="2" t="s">
        <v>27</v>
      </c>
      <c r="D34">
        <v>0.24466775009677399</v>
      </c>
      <c r="E34">
        <v>0.15340756274193501</v>
      </c>
      <c r="F34">
        <v>0.28993901403225802</v>
      </c>
      <c r="G34">
        <v>0.43622173390322599</v>
      </c>
      <c r="H34">
        <v>0.33912936900000001</v>
      </c>
      <c r="I34" s="2" t="s">
        <v>27</v>
      </c>
      <c r="J34" s="2" t="s">
        <v>27</v>
      </c>
      <c r="K34">
        <v>0.22864069707779799</v>
      </c>
      <c r="L34">
        <v>0.50430087229533005</v>
      </c>
      <c r="M34" s="2" t="s">
        <v>27</v>
      </c>
      <c r="N34" s="2" t="s">
        <v>27</v>
      </c>
      <c r="O34">
        <v>0.29125851428571398</v>
      </c>
      <c r="P34">
        <v>0.28154637825299</v>
      </c>
      <c r="Q34">
        <v>7.6008690181604596E-2</v>
      </c>
      <c r="S34" s="2">
        <f t="shared" ref="S34:S65" si="6">AVERAGEIF(B34:Q34, "&lt;&gt;NA")</f>
        <v>0.29765151698796632</v>
      </c>
      <c r="T34" s="5">
        <f t="shared" si="1"/>
        <v>-3.7172469555658845E-2</v>
      </c>
      <c r="U34" s="2" cm="1">
        <f t="array" ref="U34">SUMPRODUCT(B$2:Q$2, B34:Q34, --ISNUMBER(B34:Q34)) /
 SUMPRODUCT(B$2:Q$2, --ISNUMBER(B34:Q34))</f>
        <v>0.27249659491822498</v>
      </c>
      <c r="V34" s="2">
        <f t="shared" si="3"/>
        <v>-8.8995333092196052E-2</v>
      </c>
      <c r="W34" s="11">
        <v>-4.6340081300205904</v>
      </c>
      <c r="X34" s="2">
        <f t="shared" si="4"/>
        <v>-4.6340081300205907E-2</v>
      </c>
      <c r="AA34" s="2">
        <f t="shared" si="5"/>
        <v>0.12599681485666245</v>
      </c>
      <c r="AD34" s="2">
        <f t="shared" si="2"/>
        <v>-8.8995333092196052E-2</v>
      </c>
    </row>
    <row r="35" spans="1:30" x14ac:dyDescent="0.3">
      <c r="A35" s="2">
        <v>1931</v>
      </c>
      <c r="B35">
        <v>0.36249382838709698</v>
      </c>
      <c r="C35" s="2" t="s">
        <v>27</v>
      </c>
      <c r="D35">
        <v>0.147374090290323</v>
      </c>
      <c r="E35">
        <v>0.12577078064516101</v>
      </c>
      <c r="F35">
        <v>0.41981928248387101</v>
      </c>
      <c r="G35">
        <v>0.42138510445161298</v>
      </c>
      <c r="H35">
        <v>0.34748505296774201</v>
      </c>
      <c r="I35" s="2" t="s">
        <v>27</v>
      </c>
      <c r="J35" s="2" t="s">
        <v>27</v>
      </c>
      <c r="K35">
        <v>0.20949058793168801</v>
      </c>
      <c r="L35">
        <v>0.43292947765692302</v>
      </c>
      <c r="M35" s="2" t="s">
        <v>27</v>
      </c>
      <c r="N35" s="2" t="s">
        <v>27</v>
      </c>
      <c r="O35">
        <v>0.32038436571428502</v>
      </c>
      <c r="P35">
        <v>0.26403286338528398</v>
      </c>
      <c r="Q35">
        <v>5.7006517636203499E-2</v>
      </c>
      <c r="S35" s="2">
        <f t="shared" si="6"/>
        <v>0.2825610865045628</v>
      </c>
      <c r="T35" s="5">
        <f t="shared" si="1"/>
        <v>-8.5986203356534563E-2</v>
      </c>
      <c r="U35" s="2" cm="1">
        <f t="array" ref="U35">SUMPRODUCT(B$2:Q$2, B35:Q35, --ISNUMBER(B35:Q35)) /
 SUMPRODUCT(B$2:Q$2, --ISNUMBER(B35:Q35))</f>
        <v>0.25202339992991296</v>
      </c>
      <c r="V35" s="2">
        <f t="shared" si="3"/>
        <v>-0.15744087160053169</v>
      </c>
      <c r="W35" s="11">
        <v>-9.4542446798868909</v>
      </c>
      <c r="X35" s="2">
        <f t="shared" si="4"/>
        <v>-9.4542446798868904E-2</v>
      </c>
      <c r="AA35" s="2">
        <f t="shared" si="5"/>
        <v>0.13121498343729879</v>
      </c>
      <c r="AD35" s="2">
        <f t="shared" si="2"/>
        <v>-0.15744087160053169</v>
      </c>
    </row>
    <row r="36" spans="1:30" x14ac:dyDescent="0.3">
      <c r="A36" s="2">
        <v>1932</v>
      </c>
      <c r="B36">
        <v>0.30631333516129</v>
      </c>
      <c r="C36" s="2" t="s">
        <v>27</v>
      </c>
      <c r="D36">
        <v>0.102836913451613</v>
      </c>
      <c r="E36">
        <v>9.9246495967741905E-2</v>
      </c>
      <c r="F36">
        <v>0.21040321419354899</v>
      </c>
      <c r="G36">
        <v>0.32528844251612898</v>
      </c>
      <c r="H36">
        <v>0.37845678877419398</v>
      </c>
      <c r="I36" s="2" t="s">
        <v>27</v>
      </c>
      <c r="J36" s="2" t="s">
        <v>27</v>
      </c>
      <c r="K36">
        <v>0.176413126679316</v>
      </c>
      <c r="L36">
        <v>0.33548829216257098</v>
      </c>
      <c r="M36" s="2" t="s">
        <v>27</v>
      </c>
      <c r="N36" s="2" t="s">
        <v>27</v>
      </c>
      <c r="O36">
        <v>0.29125851428571398</v>
      </c>
      <c r="P36">
        <v>0.21991654112359499</v>
      </c>
      <c r="Q36">
        <v>4.5482619447379503E-2</v>
      </c>
      <c r="S36" s="2">
        <f t="shared" si="6"/>
        <v>0.22646402579664474</v>
      </c>
      <c r="T36" s="5">
        <f t="shared" si="1"/>
        <v>-0.26744603589209209</v>
      </c>
      <c r="U36" s="2" cm="1">
        <f t="array" ref="U36">SUMPRODUCT(B$2:Q$2, B36:Q36, --ISNUMBER(B36:Q36)) /
 SUMPRODUCT(B$2:Q$2, --ISNUMBER(B36:Q36))</f>
        <v>0.20673437011535761</v>
      </c>
      <c r="V36" s="2">
        <f t="shared" si="3"/>
        <v>-0.30885016731363263</v>
      </c>
      <c r="W36" s="11">
        <v>-27.430851176645302</v>
      </c>
      <c r="X36" s="2">
        <f t="shared" si="4"/>
        <v>-0.27430851176645299</v>
      </c>
      <c r="AA36" s="2">
        <f t="shared" si="5"/>
        <v>0.11061497995874651</v>
      </c>
      <c r="AD36" s="2">
        <f t="shared" si="2"/>
        <v>-0.30885016731363263</v>
      </c>
    </row>
    <row r="37" spans="1:30" x14ac:dyDescent="0.3">
      <c r="A37" s="2">
        <v>1933</v>
      </c>
      <c r="B37">
        <v>0.385657478</v>
      </c>
      <c r="C37" s="2" t="s">
        <v>27</v>
      </c>
      <c r="D37">
        <v>0.13800790309677399</v>
      </c>
      <c r="E37">
        <v>8.79458624516129E-2</v>
      </c>
      <c r="F37">
        <v>0.31856626129032201</v>
      </c>
      <c r="G37">
        <v>0.39816795251612902</v>
      </c>
      <c r="H37">
        <v>0.47894781770967698</v>
      </c>
      <c r="I37" s="2" t="s">
        <v>27</v>
      </c>
      <c r="J37" s="2" t="s">
        <v>27</v>
      </c>
      <c r="K37">
        <v>0.236764985806451</v>
      </c>
      <c r="L37">
        <v>0.522962853727727</v>
      </c>
      <c r="M37" s="2" t="s">
        <v>27</v>
      </c>
      <c r="N37" s="2" t="s">
        <v>27</v>
      </c>
      <c r="O37">
        <v>0.26213266285714198</v>
      </c>
      <c r="P37">
        <v>0.24740610876404401</v>
      </c>
      <c r="Q37">
        <v>7.0982309056692006E-2</v>
      </c>
      <c r="S37" s="2">
        <f t="shared" si="6"/>
        <v>0.28614019957059733</v>
      </c>
      <c r="T37" s="5">
        <f t="shared" si="1"/>
        <v>-7.440867595327115E-2</v>
      </c>
      <c r="U37" s="2" cm="1">
        <f t="array" ref="U37">SUMPRODUCT(B$2:Q$2, B37:Q37, --ISNUMBER(B37:Q37)) /
 SUMPRODUCT(B$2:Q$2, --ISNUMBER(B37:Q37))</f>
        <v>0.26580395654403843</v>
      </c>
      <c r="V37" s="2">
        <f t="shared" si="3"/>
        <v>-0.11137001558920079</v>
      </c>
      <c r="W37" s="11">
        <v>-8.3238480840826803</v>
      </c>
      <c r="X37" s="2">
        <f t="shared" si="4"/>
        <v>-8.3238480840826801E-2</v>
      </c>
      <c r="AA37" s="2">
        <f t="shared" si="5"/>
        <v>0.15126030426655704</v>
      </c>
      <c r="AD37" s="2">
        <f t="shared" si="2"/>
        <v>-0.11137001558920079</v>
      </c>
    </row>
    <row r="38" spans="1:30" x14ac:dyDescent="0.3">
      <c r="A38" s="2">
        <v>1934</v>
      </c>
      <c r="B38">
        <v>0.40156087912903199</v>
      </c>
      <c r="C38" s="2" t="s">
        <v>27</v>
      </c>
      <c r="D38">
        <v>0.13361152951612901</v>
      </c>
      <c r="E38">
        <v>0.118451717451613</v>
      </c>
      <c r="F38">
        <v>0.33238631132258101</v>
      </c>
      <c r="G38">
        <v>0.32268116854838702</v>
      </c>
      <c r="H38">
        <v>0.27061275838709697</v>
      </c>
      <c r="I38" s="2" t="s">
        <v>27</v>
      </c>
      <c r="J38" s="2" t="s">
        <v>27</v>
      </c>
      <c r="K38">
        <v>0.21819518299810201</v>
      </c>
      <c r="L38">
        <v>0.429083115071619</v>
      </c>
      <c r="M38" s="2" t="s">
        <v>27</v>
      </c>
      <c r="N38" s="2" t="s">
        <v>27</v>
      </c>
      <c r="O38">
        <v>0.25048232228571399</v>
      </c>
      <c r="P38">
        <v>0.26115089258426899</v>
      </c>
      <c r="Q38">
        <v>4.6953755386378297E-2</v>
      </c>
      <c r="S38" s="2">
        <f t="shared" si="6"/>
        <v>0.25319723933462918</v>
      </c>
      <c r="T38" s="5">
        <f t="shared" ref="T38:T69" si="7">((S38-$V$1)/$V$1)</f>
        <v>-0.18097083753904827</v>
      </c>
      <c r="U38" s="2" cm="1">
        <f t="array" ref="U38">SUMPRODUCT(B$2:Q$2, B38:Q38, --ISNUMBER(B38:Q38)) /
 SUMPRODUCT(B$2:Q$2, --ISNUMBER(B38:Q38))</f>
        <v>0.23417386353304934</v>
      </c>
      <c r="V38" s="2">
        <f t="shared" si="3"/>
        <v>-0.21711505198639425</v>
      </c>
      <c r="W38" s="11">
        <v>-18.865597659629699</v>
      </c>
      <c r="X38" s="2">
        <f t="shared" si="4"/>
        <v>-0.18865597659629699</v>
      </c>
      <c r="AA38" s="2">
        <f t="shared" si="5"/>
        <v>0.11859135061031652</v>
      </c>
      <c r="AD38" s="2">
        <f t="shared" si="2"/>
        <v>-0.21711505198639425</v>
      </c>
    </row>
    <row r="39" spans="1:30" x14ac:dyDescent="0.3">
      <c r="A39" s="2">
        <v>1935</v>
      </c>
      <c r="B39">
        <v>0.29369433216128998</v>
      </c>
      <c r="C39" s="2" t="s">
        <v>27</v>
      </c>
      <c r="D39">
        <v>4.2816856483870999E-2</v>
      </c>
      <c r="E39">
        <v>9.0170857677419294E-2</v>
      </c>
      <c r="F39">
        <v>0.225351432096774</v>
      </c>
      <c r="G39">
        <v>0.28872453145161298</v>
      </c>
      <c r="H39">
        <v>0.411433889064516</v>
      </c>
      <c r="I39" s="2" t="s">
        <v>27</v>
      </c>
      <c r="J39" s="2" t="s">
        <v>27</v>
      </c>
      <c r="K39">
        <v>0.15587028232257999</v>
      </c>
      <c r="L39">
        <v>0.31312240601839902</v>
      </c>
      <c r="M39" s="2" t="s">
        <v>27</v>
      </c>
      <c r="N39" s="2" t="s">
        <v>27</v>
      </c>
      <c r="O39">
        <v>0.26213266285714198</v>
      </c>
      <c r="P39">
        <v>0.25605202116708897</v>
      </c>
      <c r="Q39">
        <v>4.3275915538881299E-2</v>
      </c>
      <c r="S39" s="2">
        <f t="shared" si="6"/>
        <v>0.21660410789450674</v>
      </c>
      <c r="T39" s="5">
        <f t="shared" si="7"/>
        <v>-0.2993403816698873</v>
      </c>
      <c r="U39" s="2" cm="1">
        <f t="array" ref="U39">SUMPRODUCT(B$2:Q$2, B39:Q39, --ISNUMBER(B39:Q39)) /
 SUMPRODUCT(B$2:Q$2, --ISNUMBER(B39:Q39))</f>
        <v>0.19609780339826055</v>
      </c>
      <c r="V39" s="2">
        <f t="shared" si="3"/>
        <v>-0.34441010494169566</v>
      </c>
      <c r="W39" s="11">
        <v>-30.589341292300201</v>
      </c>
      <c r="X39" s="2">
        <f t="shared" si="4"/>
        <v>-0.30589341292300198</v>
      </c>
      <c r="AA39" s="2">
        <f t="shared" si="5"/>
        <v>0.11918171918607413</v>
      </c>
      <c r="AD39" s="2">
        <f t="shared" si="2"/>
        <v>-0.34441010494169566</v>
      </c>
    </row>
    <row r="40" spans="1:30" x14ac:dyDescent="0.3">
      <c r="A40" s="2">
        <v>1936</v>
      </c>
      <c r="B40">
        <v>0.38064444935483899</v>
      </c>
      <c r="C40" s="2" t="s">
        <v>27</v>
      </c>
      <c r="D40">
        <v>6.9003951548387094E-2</v>
      </c>
      <c r="E40">
        <v>0.13344115877419399</v>
      </c>
      <c r="F40">
        <v>0.177686360806452</v>
      </c>
      <c r="G40">
        <v>0.247566852903226</v>
      </c>
      <c r="H40">
        <v>0.37823397061290298</v>
      </c>
      <c r="I40" s="2" t="s">
        <v>27</v>
      </c>
      <c r="J40" s="2" t="s">
        <v>27</v>
      </c>
      <c r="K40">
        <v>0.181519822451612</v>
      </c>
      <c r="L40">
        <v>0.36853851882147398</v>
      </c>
      <c r="M40" s="2" t="s">
        <v>27</v>
      </c>
      <c r="N40" s="2" t="s">
        <v>27</v>
      </c>
      <c r="O40">
        <v>0.29125851428571398</v>
      </c>
      <c r="P40">
        <v>0.221024991431678</v>
      </c>
      <c r="Q40">
        <v>5.7864680267286098E-2</v>
      </c>
      <c r="S40" s="2">
        <f t="shared" si="6"/>
        <v>0.22788938829616046</v>
      </c>
      <c r="T40" s="5">
        <f t="shared" si="7"/>
        <v>-0.26283534796654667</v>
      </c>
      <c r="U40" s="2" cm="1">
        <f t="array" ref="U40">SUMPRODUCT(B$2:Q$2, B40:Q40, --ISNUMBER(B40:Q40)) /
 SUMPRODUCT(B$2:Q$2, --ISNUMBER(B40:Q40))</f>
        <v>0.21459159867858421</v>
      </c>
      <c r="V40" s="2">
        <f t="shared" si="3"/>
        <v>-0.28258205232229189</v>
      </c>
      <c r="W40" s="11">
        <v>-26.985969927626201</v>
      </c>
      <c r="X40" s="2">
        <f t="shared" si="4"/>
        <v>-0.26985969927626202</v>
      </c>
      <c r="AA40" s="2">
        <f t="shared" si="5"/>
        <v>0.11743665557709457</v>
      </c>
      <c r="AD40" s="2">
        <f t="shared" si="2"/>
        <v>-0.28258205232229189</v>
      </c>
    </row>
    <row r="41" spans="1:30" x14ac:dyDescent="0.3">
      <c r="A41" s="2">
        <v>1937</v>
      </c>
      <c r="B41">
        <v>0.36854403529032298</v>
      </c>
      <c r="C41" s="2" t="s">
        <v>27</v>
      </c>
      <c r="D41">
        <v>7.6840965322580598E-2</v>
      </c>
      <c r="E41">
        <v>0.151358225225806</v>
      </c>
      <c r="F41">
        <v>0.16231508025806499</v>
      </c>
      <c r="G41">
        <v>0.25296763422580698</v>
      </c>
      <c r="H41">
        <v>0.44808749048387098</v>
      </c>
      <c r="I41" s="2" t="s">
        <v>27</v>
      </c>
      <c r="J41" s="2" t="s">
        <v>27</v>
      </c>
      <c r="K41">
        <v>0.248835357631878</v>
      </c>
      <c r="L41">
        <v>0.48407185425410498</v>
      </c>
      <c r="M41" s="2" t="s">
        <v>27</v>
      </c>
      <c r="N41" s="2" t="s">
        <v>27</v>
      </c>
      <c r="O41">
        <v>0.29125851428571398</v>
      </c>
      <c r="P41">
        <v>0.25716047147517201</v>
      </c>
      <c r="Q41">
        <v>6.0193978837367497E-2</v>
      </c>
      <c r="S41" s="2">
        <f t="shared" si="6"/>
        <v>0.25469396429915353</v>
      </c>
      <c r="T41" s="5">
        <f t="shared" si="7"/>
        <v>-0.17612931005103066</v>
      </c>
      <c r="U41" s="2" cm="1">
        <f t="array" ref="U41">SUMPRODUCT(B$2:Q$2, B41:Q41, --ISNUMBER(B41:Q41)) /
 SUMPRODUCT(B$2:Q$2, --ISNUMBER(B41:Q41))</f>
        <v>0.25640763130251204</v>
      </c>
      <c r="V41" s="2">
        <f t="shared" si="3"/>
        <v>-0.14278360499343901</v>
      </c>
      <c r="W41" s="11">
        <v>-18.402795481318002</v>
      </c>
      <c r="X41" s="2">
        <f t="shared" si="4"/>
        <v>-0.18402795481318002</v>
      </c>
      <c r="AA41" s="2">
        <f t="shared" si="5"/>
        <v>0.13893578778418456</v>
      </c>
      <c r="AD41" s="2">
        <f t="shared" si="2"/>
        <v>-0.14278360499343901</v>
      </c>
    </row>
    <row r="42" spans="1:30" x14ac:dyDescent="0.3">
      <c r="A42" s="2">
        <v>1938</v>
      </c>
      <c r="B42">
        <v>0.39222627406451599</v>
      </c>
      <c r="C42" s="2" t="s">
        <v>27</v>
      </c>
      <c r="D42">
        <v>8.85009126451613E-2</v>
      </c>
      <c r="E42">
        <v>0.14936743983871001</v>
      </c>
      <c r="F42">
        <v>0.235928001064516</v>
      </c>
      <c r="G42">
        <v>0.33267571825806502</v>
      </c>
      <c r="H42">
        <v>0.55147515606451603</v>
      </c>
      <c r="I42" s="2" t="s">
        <v>27</v>
      </c>
      <c r="J42" s="2" t="s">
        <v>27</v>
      </c>
      <c r="K42">
        <v>0.25231719565844302</v>
      </c>
      <c r="L42">
        <v>0.48350202275998599</v>
      </c>
      <c r="M42" s="2" t="s">
        <v>27</v>
      </c>
      <c r="N42" s="2" t="s">
        <v>27</v>
      </c>
      <c r="O42">
        <v>0.32038436571428502</v>
      </c>
      <c r="P42">
        <v>0.28487172917723802</v>
      </c>
      <c r="Q42">
        <v>7.1227498379858506E-2</v>
      </c>
      <c r="S42" s="2">
        <f t="shared" si="6"/>
        <v>0.2874978466932086</v>
      </c>
      <c r="T42" s="5">
        <f t="shared" si="7"/>
        <v>-7.0017030180703071E-2</v>
      </c>
      <c r="U42" s="2" cm="1">
        <f t="array" ref="U42">SUMPRODUCT(B$2:Q$2, B42:Q42, --ISNUMBER(B42:Q42)) /
 SUMPRODUCT(B$2:Q$2, --ISNUMBER(B42:Q42))</f>
        <v>0.27373002118204615</v>
      </c>
      <c r="V42" s="2">
        <f t="shared" si="3"/>
        <v>-8.4871769335500502E-2</v>
      </c>
      <c r="W42" s="11">
        <v>-7.8885250994685698</v>
      </c>
      <c r="X42" s="2">
        <f t="shared" si="4"/>
        <v>-7.8885250994685699E-2</v>
      </c>
      <c r="AA42" s="2">
        <f t="shared" si="5"/>
        <v>0.15216732234850808</v>
      </c>
      <c r="AD42" s="2">
        <f t="shared" si="2"/>
        <v>-8.4871769335500502E-2</v>
      </c>
    </row>
    <row r="43" spans="1:30" x14ac:dyDescent="0.3">
      <c r="A43" s="2">
        <v>1939</v>
      </c>
      <c r="B43">
        <v>0.42714461138709697</v>
      </c>
      <c r="C43" s="2" t="s">
        <v>27</v>
      </c>
      <c r="D43">
        <v>0.10570411361290299</v>
      </c>
      <c r="E43">
        <v>0.145854289967742</v>
      </c>
      <c r="F43">
        <v>0.21773630248387099</v>
      </c>
      <c r="G43">
        <v>0.341304552806452</v>
      </c>
      <c r="H43">
        <v>0.48462968261290301</v>
      </c>
      <c r="I43" s="2" t="s">
        <v>27</v>
      </c>
      <c r="J43" s="2" t="s">
        <v>27</v>
      </c>
      <c r="K43">
        <v>0.25046021537760899</v>
      </c>
      <c r="L43">
        <v>0.47737633419820602</v>
      </c>
      <c r="M43" s="2" t="s">
        <v>27</v>
      </c>
      <c r="N43" s="2" t="s">
        <v>27</v>
      </c>
      <c r="O43">
        <v>0.34951021714285702</v>
      </c>
      <c r="P43">
        <v>0.24563258827111201</v>
      </c>
      <c r="Q43">
        <v>5.8355058913619001E-2</v>
      </c>
      <c r="S43" s="2">
        <f t="shared" si="6"/>
        <v>0.28215526970676097</v>
      </c>
      <c r="T43" s="5">
        <f t="shared" si="7"/>
        <v>-8.7298918269578862E-2</v>
      </c>
      <c r="U43" s="2" cm="1">
        <f t="array" ref="U43">SUMPRODUCT(B$2:Q$2, B43:Q43, --ISNUMBER(B43:Q43)) /
 SUMPRODUCT(B$2:Q$2, --ISNUMBER(B43:Q43))</f>
        <v>0.26819686870753412</v>
      </c>
      <c r="V43" s="2">
        <f t="shared" si="3"/>
        <v>-0.10337008388693782</v>
      </c>
      <c r="W43" s="11">
        <v>-9.5920381424982697</v>
      </c>
      <c r="X43" s="2">
        <f t="shared" si="4"/>
        <v>-9.5920381424982701E-2</v>
      </c>
      <c r="AA43" s="2">
        <f t="shared" si="5"/>
        <v>0.14644185730898659</v>
      </c>
      <c r="AD43" s="2">
        <f t="shared" si="2"/>
        <v>-0.10337008388693782</v>
      </c>
    </row>
    <row r="44" spans="1:30" x14ac:dyDescent="0.3">
      <c r="A44" s="2">
        <v>1940</v>
      </c>
      <c r="B44">
        <v>0.38721324545161301</v>
      </c>
      <c r="C44" s="2" t="s">
        <v>27</v>
      </c>
      <c r="D44">
        <v>9.5191046419354802E-2</v>
      </c>
      <c r="E44">
        <v>0.16986081690322599</v>
      </c>
      <c r="F44">
        <v>0.21251852841935501</v>
      </c>
      <c r="G44">
        <v>0.29604972941935498</v>
      </c>
      <c r="H44">
        <v>0.383693017580645</v>
      </c>
      <c r="I44">
        <v>9.3380592366412205E-2</v>
      </c>
      <c r="J44" s="2" t="s">
        <v>27</v>
      </c>
      <c r="K44">
        <v>0.20426783089184</v>
      </c>
      <c r="L44">
        <v>0.40458036082450199</v>
      </c>
      <c r="M44" s="2" t="s">
        <v>27</v>
      </c>
      <c r="N44" s="2" t="s">
        <v>27</v>
      </c>
      <c r="O44">
        <v>0.221356470857142</v>
      </c>
      <c r="P44">
        <v>0.22501541254077501</v>
      </c>
      <c r="Q44">
        <v>3.6778398474969901E-2</v>
      </c>
      <c r="S44" s="2">
        <f t="shared" si="6"/>
        <v>0.22749212084576578</v>
      </c>
      <c r="T44" s="5">
        <f t="shared" si="7"/>
        <v>-0.26412040789857749</v>
      </c>
      <c r="U44" s="2" cm="1">
        <f t="array" ref="U44">SUMPRODUCT(B$2:Q$2, B44:Q44, --ISNUMBER(B44:Q44)) /
 SUMPRODUCT(B$2:Q$2, --ISNUMBER(B44:Q44))</f>
        <v>0.21247154334178298</v>
      </c>
      <c r="V44" s="2">
        <f t="shared" si="3"/>
        <v>-0.28966977503863744</v>
      </c>
      <c r="W44" s="11">
        <v>-27.1024258733678</v>
      </c>
      <c r="X44" s="2">
        <f t="shared" si="4"/>
        <v>-0.27102425873367797</v>
      </c>
      <c r="AA44" s="2">
        <f t="shared" si="5"/>
        <v>0.12134094417914643</v>
      </c>
      <c r="AD44" s="2">
        <f t="shared" si="2"/>
        <v>-0.28966977503863744</v>
      </c>
    </row>
    <row r="45" spans="1:30" x14ac:dyDescent="0.3">
      <c r="A45" s="2">
        <v>1941</v>
      </c>
      <c r="B45">
        <v>0.38358312129032301</v>
      </c>
      <c r="C45" s="2" t="s">
        <v>27</v>
      </c>
      <c r="D45">
        <v>6.5181017999999993E-2</v>
      </c>
      <c r="E45">
        <v>0.146088499870968</v>
      </c>
      <c r="F45">
        <v>0.21505690493548399</v>
      </c>
      <c r="G45">
        <v>0.29673258696774202</v>
      </c>
      <c r="H45">
        <v>0.43516403225806399</v>
      </c>
      <c r="I45">
        <v>3.7352236946564803E-2</v>
      </c>
      <c r="J45" s="2" t="s">
        <v>27</v>
      </c>
      <c r="K45">
        <v>0.16631579640227701</v>
      </c>
      <c r="L45">
        <v>0.32964751934785103</v>
      </c>
      <c r="M45" s="2" t="s">
        <v>27</v>
      </c>
      <c r="N45" s="2" t="s">
        <v>27</v>
      </c>
      <c r="O45">
        <v>0.29125851428571398</v>
      </c>
      <c r="P45">
        <v>0.20883203804276901</v>
      </c>
      <c r="Q45">
        <v>4.0824022307216698E-2</v>
      </c>
      <c r="S45" s="2">
        <f t="shared" si="6"/>
        <v>0.21800302422124782</v>
      </c>
      <c r="T45" s="5">
        <f t="shared" si="7"/>
        <v>-0.2948152404382744</v>
      </c>
      <c r="U45" s="2" cm="1">
        <f t="array" ref="U45">SUMPRODUCT(B$2:Q$2, B45:Q45, --ISNUMBER(B45:Q45)) /
 SUMPRODUCT(B$2:Q$2, --ISNUMBER(B45:Q45))</f>
        <v>0.19735083204814904</v>
      </c>
      <c r="V45" s="2">
        <f t="shared" si="3"/>
        <v>-0.34022100691586465</v>
      </c>
      <c r="W45" s="11">
        <v>-30.1374317183732</v>
      </c>
      <c r="X45" s="2">
        <f t="shared" si="4"/>
        <v>-0.30137431718373198</v>
      </c>
      <c r="AA45" s="2">
        <f t="shared" si="5"/>
        <v>0.1327754777160762</v>
      </c>
      <c r="AD45" s="2">
        <f t="shared" si="2"/>
        <v>-0.34022100691586465</v>
      </c>
    </row>
    <row r="46" spans="1:30" x14ac:dyDescent="0.3">
      <c r="A46" s="2">
        <v>1942</v>
      </c>
      <c r="B46">
        <v>0.47001464925806402</v>
      </c>
      <c r="C46" s="2" t="s">
        <v>27</v>
      </c>
      <c r="D46">
        <v>0.11143851432258101</v>
      </c>
      <c r="E46">
        <v>0.245042233</v>
      </c>
      <c r="F46">
        <v>0.36242376758064498</v>
      </c>
      <c r="G46">
        <v>0.49867214848387098</v>
      </c>
      <c r="H46">
        <v>0.63414072483870998</v>
      </c>
      <c r="I46">
        <v>3.1749401404580102E-2</v>
      </c>
      <c r="J46" s="2" t="s">
        <v>27</v>
      </c>
      <c r="K46">
        <v>0.15946818161669801</v>
      </c>
      <c r="L46">
        <v>0.349449163768487</v>
      </c>
      <c r="M46" s="2" t="s">
        <v>27</v>
      </c>
      <c r="N46" s="2" t="s">
        <v>27</v>
      </c>
      <c r="O46">
        <v>0.32977980165898602</v>
      </c>
      <c r="P46">
        <v>0.21769964050742999</v>
      </c>
      <c r="Q46">
        <v>7.1104903718275297E-2</v>
      </c>
      <c r="S46" s="2">
        <f t="shared" si="6"/>
        <v>0.290081927513194</v>
      </c>
      <c r="T46" s="5">
        <f t="shared" si="7"/>
        <v>-6.1658180948042457E-2</v>
      </c>
      <c r="U46" s="2" cm="1">
        <f t="array" ref="U46">SUMPRODUCT(B$2:Q$2, B46:Q46, --ISNUMBER(B46:Q46)) /
 SUMPRODUCT(B$2:Q$2, --ISNUMBER(B46:Q46))</f>
        <v>0.23169143796960132</v>
      </c>
      <c r="V46" s="2">
        <f t="shared" si="3"/>
        <v>-0.22541424293309598</v>
      </c>
      <c r="W46" s="11">
        <v>-7.0357111189722099</v>
      </c>
      <c r="X46" s="2">
        <f t="shared" si="4"/>
        <v>-7.0357111189722099E-2</v>
      </c>
      <c r="AA46" s="2">
        <f t="shared" si="5"/>
        <v>0.18476611079369207</v>
      </c>
      <c r="AD46" s="2">
        <f t="shared" si="2"/>
        <v>-0.22541424293309598</v>
      </c>
    </row>
    <row r="47" spans="1:30" x14ac:dyDescent="0.3">
      <c r="A47" s="2">
        <v>1943</v>
      </c>
      <c r="B47">
        <v>0.56215065816128995</v>
      </c>
      <c r="C47" s="2" t="s">
        <v>27</v>
      </c>
      <c r="D47">
        <v>0.110673927483871</v>
      </c>
      <c r="E47">
        <v>0.20916320990000001</v>
      </c>
      <c r="F47">
        <v>0.30107966667741898</v>
      </c>
      <c r="G47">
        <v>0.39102898861290297</v>
      </c>
      <c r="H47">
        <v>0.45243244616129002</v>
      </c>
      <c r="I47" s="2" t="s">
        <v>27</v>
      </c>
      <c r="J47">
        <v>0.34703142127659498</v>
      </c>
      <c r="K47">
        <v>0.206821178777988</v>
      </c>
      <c r="L47">
        <v>0.38919491048328803</v>
      </c>
      <c r="M47">
        <v>0.162743116629711</v>
      </c>
      <c r="N47" s="2" t="s">
        <v>27</v>
      </c>
      <c r="O47">
        <v>0.27246764239631299</v>
      </c>
      <c r="P47">
        <v>0.25516526092062303</v>
      </c>
      <c r="Q47">
        <v>7.3801986273106399E-2</v>
      </c>
      <c r="S47" s="2">
        <f t="shared" si="6"/>
        <v>0.28721187798110748</v>
      </c>
      <c r="T47" s="5">
        <f t="shared" si="7"/>
        <v>-7.0942066786069374E-2</v>
      </c>
      <c r="U47" s="2" cm="1">
        <f t="array" ref="U47">SUMPRODUCT(B$2:Q$2, B47:Q47, --ISNUMBER(B47:Q47)) /
 SUMPRODUCT(B$2:Q$2, --ISNUMBER(B47:Q47))</f>
        <v>0.24623902577218307</v>
      </c>
      <c r="V47" s="2">
        <f t="shared" si="3"/>
        <v>-0.17677906499856008</v>
      </c>
      <c r="W47" s="11">
        <v>-7.9286183152837397</v>
      </c>
      <c r="X47" s="2">
        <f t="shared" si="4"/>
        <v>-7.9286183152837392E-2</v>
      </c>
      <c r="AA47" s="2">
        <f t="shared" si="5"/>
        <v>0.13959433290519888</v>
      </c>
      <c r="AD47" s="2">
        <f t="shared" si="2"/>
        <v>-0.17677906499856008</v>
      </c>
    </row>
    <row r="48" spans="1:30" x14ac:dyDescent="0.3">
      <c r="A48" s="2">
        <v>1944</v>
      </c>
      <c r="B48">
        <v>0.38617606712903202</v>
      </c>
      <c r="C48" s="2" t="s">
        <v>27</v>
      </c>
      <c r="D48">
        <v>9.5191046354838799E-2</v>
      </c>
      <c r="E48">
        <v>0.187309463387097</v>
      </c>
      <c r="F48">
        <v>0.24128679622580601</v>
      </c>
      <c r="G48">
        <v>0.38991158554838701</v>
      </c>
      <c r="H48">
        <v>0.52975037703225802</v>
      </c>
      <c r="I48">
        <v>0.14007088854961799</v>
      </c>
      <c r="J48">
        <v>0.40486999148936098</v>
      </c>
      <c r="K48">
        <v>0.238621966087286</v>
      </c>
      <c r="L48">
        <v>0.47096572988936702</v>
      </c>
      <c r="M48">
        <v>0.20071651050997699</v>
      </c>
      <c r="N48" s="2" t="s">
        <v>27</v>
      </c>
      <c r="O48">
        <v>0.28186307834101298</v>
      </c>
      <c r="P48">
        <v>0.24784948888727801</v>
      </c>
      <c r="Q48">
        <v>5.82324642520358E-2</v>
      </c>
      <c r="S48" s="2">
        <f t="shared" si="6"/>
        <v>0.27662967526309673</v>
      </c>
      <c r="T48" s="5">
        <f t="shared" si="7"/>
        <v>-0.10517282163908631</v>
      </c>
      <c r="U48" s="2" cm="1">
        <f t="array" ref="U48">SUMPRODUCT(B$2:Q$2, B48:Q48, --ISNUMBER(B48:Q48)) /
 SUMPRODUCT(B$2:Q$2, --ISNUMBER(B48:Q48))</f>
        <v>0.26463461160805674</v>
      </c>
      <c r="V48" s="2">
        <f t="shared" si="3"/>
        <v>-0.11527934404970511</v>
      </c>
      <c r="W48" s="11">
        <v>-11.3211881338484</v>
      </c>
      <c r="X48" s="2">
        <f t="shared" si="4"/>
        <v>-0.11321188133848401</v>
      </c>
      <c r="AA48" s="2">
        <f t="shared" si="5"/>
        <v>0.14133193205957043</v>
      </c>
      <c r="AD48" s="2">
        <f t="shared" si="2"/>
        <v>-0.11527934404970511</v>
      </c>
    </row>
    <row r="49" spans="1:30" x14ac:dyDescent="0.3">
      <c r="A49" s="2">
        <v>1945</v>
      </c>
      <c r="B49">
        <v>0.40830253822580598</v>
      </c>
      <c r="C49" s="2" t="s">
        <v>27</v>
      </c>
      <c r="D49">
        <v>8.1619632258064498E-2</v>
      </c>
      <c r="E49">
        <v>0.18988577367741899</v>
      </c>
      <c r="F49">
        <v>0.323643014290322</v>
      </c>
      <c r="G49">
        <v>0.40412743541935497</v>
      </c>
      <c r="H49">
        <v>0.405194978258064</v>
      </c>
      <c r="I49" s="2" t="s">
        <v>27</v>
      </c>
      <c r="J49">
        <v>0.35561391879203802</v>
      </c>
      <c r="K49">
        <v>0.209374526664136</v>
      </c>
      <c r="L49">
        <v>0.401018913986258</v>
      </c>
      <c r="M49">
        <v>0.16309310182676401</v>
      </c>
      <c r="N49" s="2" t="s">
        <v>27</v>
      </c>
      <c r="O49">
        <v>0.33447751963133598</v>
      </c>
      <c r="P49">
        <v>0.242528927408481</v>
      </c>
      <c r="Q49">
        <v>6.2155493422699298E-2</v>
      </c>
      <c r="S49" s="2">
        <f t="shared" si="6"/>
        <v>0.27546429029698016</v>
      </c>
      <c r="T49" s="5">
        <f t="shared" si="7"/>
        <v>-0.108942547862213</v>
      </c>
      <c r="U49" s="2" cm="1">
        <f t="array" ref="U49">SUMPRODUCT(B$2:Q$2, B49:Q49, --ISNUMBER(B49:Q49)) /
 SUMPRODUCT(B$2:Q$2, --ISNUMBER(B49:Q49))</f>
        <v>0.24991584811674653</v>
      </c>
      <c r="V49" s="2">
        <f t="shared" si="3"/>
        <v>-0.16448679280964187</v>
      </c>
      <c r="W49" s="11">
        <v>-11.6925274296313</v>
      </c>
      <c r="X49" s="2">
        <f t="shared" si="4"/>
        <v>-0.116925274296313</v>
      </c>
      <c r="AA49" s="2">
        <f t="shared" si="5"/>
        <v>0.12500062978141974</v>
      </c>
      <c r="AD49" s="2">
        <f t="shared" si="2"/>
        <v>-0.16448679280964187</v>
      </c>
    </row>
    <row r="50" spans="1:30" x14ac:dyDescent="0.3">
      <c r="A50" s="2">
        <v>1946</v>
      </c>
      <c r="B50">
        <v>0.39222627403225802</v>
      </c>
      <c r="C50" s="2" t="s">
        <v>27</v>
      </c>
      <c r="D50">
        <v>7.7032112E-2</v>
      </c>
      <c r="E50">
        <v>0.19773180909677401</v>
      </c>
      <c r="F50">
        <v>0.36200070487096803</v>
      </c>
      <c r="G50">
        <v>0.48017292029032299</v>
      </c>
      <c r="H50">
        <v>0.51381887264516102</v>
      </c>
      <c r="I50" s="2" t="s">
        <v>27</v>
      </c>
      <c r="J50">
        <v>0.385279508030199</v>
      </c>
      <c r="K50">
        <v>0.29235833296394598</v>
      </c>
      <c r="L50">
        <v>0.52353268522184704</v>
      </c>
      <c r="M50">
        <v>0.237289963602031</v>
      </c>
      <c r="N50" s="2" t="s">
        <v>27</v>
      </c>
      <c r="O50">
        <v>0.34575204276497701</v>
      </c>
      <c r="P50">
        <v>0.36335001098948799</v>
      </c>
      <c r="Q50">
        <v>8.3119180553432107E-2</v>
      </c>
      <c r="S50" s="2">
        <f t="shared" si="6"/>
        <v>0.32720495515856951</v>
      </c>
      <c r="T50" s="5">
        <f t="shared" si="7"/>
        <v>5.8425443661399568E-2</v>
      </c>
      <c r="U50" s="2" cm="1">
        <f t="array" ref="U50">SUMPRODUCT(B$2:Q$2, B50:Q50, --ISNUMBER(B50:Q50)) /
 SUMPRODUCT(B$2:Q$2, --ISNUMBER(B50:Q50))</f>
        <v>0.31257225835589847</v>
      </c>
      <c r="V50" s="2">
        <f t="shared" si="3"/>
        <v>4.4984749969404117E-2</v>
      </c>
      <c r="W50" s="11">
        <v>4.8983160836185</v>
      </c>
      <c r="X50" s="2">
        <f t="shared" si="4"/>
        <v>4.8983160836185001E-2</v>
      </c>
      <c r="AA50" s="2">
        <f t="shared" si="5"/>
        <v>0.14590429643544345</v>
      </c>
      <c r="AD50" s="2">
        <f t="shared" si="2"/>
        <v>4.4984749969404117E-2</v>
      </c>
    </row>
    <row r="51" spans="1:30" x14ac:dyDescent="0.3">
      <c r="A51" s="2">
        <v>1947</v>
      </c>
      <c r="B51">
        <v>0.40277092041935503</v>
      </c>
      <c r="C51" s="2" t="s">
        <v>27</v>
      </c>
      <c r="D51">
        <v>6.0975791096774201E-2</v>
      </c>
      <c r="E51">
        <v>0.18818775096774201</v>
      </c>
      <c r="F51">
        <v>0.306156420193548</v>
      </c>
      <c r="G51">
        <v>0.45633498870967698</v>
      </c>
      <c r="H51">
        <v>0.52783785390000004</v>
      </c>
      <c r="I51" s="2" t="s">
        <v>27</v>
      </c>
      <c r="J51">
        <v>0.351695822100205</v>
      </c>
      <c r="K51">
        <v>0.301759295635673</v>
      </c>
      <c r="L51">
        <v>0.50629528252474598</v>
      </c>
      <c r="M51">
        <v>0.21699082217294899</v>
      </c>
      <c r="N51" s="2" t="s">
        <v>27</v>
      </c>
      <c r="O51">
        <v>0.32038436571428502</v>
      </c>
      <c r="P51">
        <v>0.26115089258426899</v>
      </c>
      <c r="Q51">
        <v>6.1665114776366298E-2</v>
      </c>
      <c r="S51" s="2">
        <f t="shared" si="6"/>
        <v>0.3047850246765838</v>
      </c>
      <c r="T51" s="5">
        <f t="shared" si="7"/>
        <v>-1.4097372674781982E-2</v>
      </c>
      <c r="U51" s="2" cm="1">
        <f t="array" ref="U51">SUMPRODUCT(B$2:Q$2, B51:Q51, --ISNUMBER(B51:Q51)) /
 SUMPRODUCT(B$2:Q$2, --ISNUMBER(B51:Q51))</f>
        <v>0.28910791346436132</v>
      </c>
      <c r="V51" s="2">
        <f t="shared" si="3"/>
        <v>-3.3460735591762297E-2</v>
      </c>
      <c r="W51" s="11">
        <v>-2.2813342183024701</v>
      </c>
      <c r="X51" s="2">
        <f t="shared" si="4"/>
        <v>-2.28133421830247E-2</v>
      </c>
      <c r="AA51" s="2">
        <f t="shared" si="5"/>
        <v>0.1492032983339816</v>
      </c>
      <c r="AD51" s="2">
        <f t="shared" si="2"/>
        <v>-3.3460735591762297E-2</v>
      </c>
    </row>
    <row r="52" spans="1:30" x14ac:dyDescent="0.3">
      <c r="A52" s="2">
        <v>1948</v>
      </c>
      <c r="B52">
        <v>0.38911473896774201</v>
      </c>
      <c r="C52" s="2" t="s">
        <v>27</v>
      </c>
      <c r="D52">
        <v>0.103410353645161</v>
      </c>
      <c r="E52">
        <v>0.226071221774194</v>
      </c>
      <c r="F52">
        <v>0.33675795990322599</v>
      </c>
      <c r="G52">
        <v>0.52306878161290304</v>
      </c>
      <c r="H52">
        <v>0.58740459793548405</v>
      </c>
      <c r="I52" s="2" t="s">
        <v>27</v>
      </c>
      <c r="J52">
        <v>0.38695869232669799</v>
      </c>
      <c r="K52">
        <v>0.250692337912713</v>
      </c>
      <c r="L52">
        <v>0.46797411454524201</v>
      </c>
      <c r="M52">
        <v>0.19861659932765799</v>
      </c>
      <c r="N52" s="2" t="s">
        <v>27</v>
      </c>
      <c r="O52">
        <v>0.37281089828571401</v>
      </c>
      <c r="P52">
        <v>0.30083341361362798</v>
      </c>
      <c r="Q52">
        <v>8.6674425739345903E-2</v>
      </c>
      <c r="S52" s="2">
        <f t="shared" si="6"/>
        <v>0.32541447196843915</v>
      </c>
      <c r="T52" s="5">
        <f t="shared" si="7"/>
        <v>5.2633682457894529E-2</v>
      </c>
      <c r="U52" s="2" cm="1">
        <f t="array" ref="U52">SUMPRODUCT(B$2:Q$2, B52:Q52, --ISNUMBER(B52:Q52)) /
 SUMPRODUCT(B$2:Q$2, --ISNUMBER(B52:Q52))</f>
        <v>0.2950647174994272</v>
      </c>
      <c r="V52" s="2">
        <f t="shared" si="3"/>
        <v>-1.3546078392362158E-2</v>
      </c>
      <c r="W52" s="11">
        <v>4.3164757247308296</v>
      </c>
      <c r="X52" s="2">
        <f t="shared" si="4"/>
        <v>4.3164757247308297E-2</v>
      </c>
      <c r="AA52" s="2">
        <f t="shared" si="5"/>
        <v>0.15184061291844317</v>
      </c>
      <c r="AD52" s="2">
        <f t="shared" si="2"/>
        <v>-1.3546078392362158E-2</v>
      </c>
    </row>
    <row r="53" spans="1:30" x14ac:dyDescent="0.3">
      <c r="A53" s="2">
        <v>1949</v>
      </c>
      <c r="B53">
        <v>0.381681627645161</v>
      </c>
      <c r="C53" s="2" t="s">
        <v>27</v>
      </c>
      <c r="D53">
        <v>7.7032112E-2</v>
      </c>
      <c r="E53">
        <v>0.19140813880645199</v>
      </c>
      <c r="F53">
        <v>0.28965697225806503</v>
      </c>
      <c r="G53">
        <v>0.455838365032258</v>
      </c>
      <c r="H53">
        <v>0.391268837806452</v>
      </c>
      <c r="I53" s="2" t="s">
        <v>27</v>
      </c>
      <c r="J53">
        <v>0.37595070638297801</v>
      </c>
      <c r="K53">
        <v>0.28597496324857602</v>
      </c>
      <c r="L53">
        <v>0.50230646206591301</v>
      </c>
      <c r="M53">
        <v>0.18146732467205401</v>
      </c>
      <c r="N53" s="2" t="s">
        <v>27</v>
      </c>
      <c r="O53">
        <v>0.32620953599999902</v>
      </c>
      <c r="P53">
        <v>0.27489567640449403</v>
      </c>
      <c r="Q53">
        <v>6.4607386654363899E-2</v>
      </c>
      <c r="S53" s="2">
        <f t="shared" si="6"/>
        <v>0.29217677761359739</v>
      </c>
      <c r="T53" s="5">
        <f t="shared" si="7"/>
        <v>-5.4881869611775963E-2</v>
      </c>
      <c r="U53" s="2" cm="1">
        <f t="array" ref="U53">SUMPRODUCT(B$2:Q$2, B53:Q53, --ISNUMBER(B53:Q53)) /
 SUMPRODUCT(B$2:Q$2, --ISNUMBER(B53:Q53))</f>
        <v>0.28414845725863058</v>
      </c>
      <c r="V53" s="2">
        <f t="shared" si="3"/>
        <v>-5.0041081302509366E-2</v>
      </c>
      <c r="W53" s="11">
        <v>-6.3399012190017601</v>
      </c>
      <c r="X53" s="2">
        <f t="shared" si="4"/>
        <v>-6.3399012190017603E-2</v>
      </c>
      <c r="AA53" s="2">
        <f t="shared" si="5"/>
        <v>0.13471440735940801</v>
      </c>
      <c r="AD53" s="2">
        <f t="shared" si="2"/>
        <v>-5.0041081302509366E-2</v>
      </c>
    </row>
    <row r="54" spans="1:30" x14ac:dyDescent="0.3">
      <c r="A54" s="2">
        <v>1950</v>
      </c>
      <c r="B54">
        <v>0.432849092193548</v>
      </c>
      <c r="C54" s="2" t="s">
        <v>27</v>
      </c>
      <c r="D54">
        <v>4.3199149741935498E-2</v>
      </c>
      <c r="E54">
        <v>0.23280475964516101</v>
      </c>
      <c r="F54">
        <v>0.35565476341935498</v>
      </c>
      <c r="G54">
        <v>0.44224329458064499</v>
      </c>
      <c r="H54">
        <v>0.47404581593548401</v>
      </c>
      <c r="I54">
        <v>0.20543730320610601</v>
      </c>
      <c r="J54">
        <v>0.34497908491420698</v>
      </c>
      <c r="K54">
        <v>0.349344415332068</v>
      </c>
      <c r="L54">
        <v>0.55002984969838098</v>
      </c>
      <c r="M54">
        <v>0.190741932393963</v>
      </c>
      <c r="N54" s="2" t="s">
        <v>27</v>
      </c>
      <c r="O54">
        <v>0.33785987657142802</v>
      </c>
      <c r="P54">
        <v>0.38574070721275799</v>
      </c>
      <c r="Q54">
        <v>8.7777777693595002E-2</v>
      </c>
      <c r="S54" s="2">
        <f t="shared" si="6"/>
        <v>0.31662198732418817</v>
      </c>
      <c r="T54" s="5">
        <f t="shared" si="7"/>
        <v>2.4192213850038537E-2</v>
      </c>
      <c r="U54" s="2" cm="1">
        <f t="array" ref="U54">SUMPRODUCT(B$2:Q$2, B54:Q54, --ISNUMBER(B54:Q54)) /
 SUMPRODUCT(B$2:Q$2, --ISNUMBER(B54:Q54))</f>
        <v>0.31399007042894267</v>
      </c>
      <c r="V54" s="2">
        <f t="shared" si="3"/>
        <v>4.9724748337930919E-2</v>
      </c>
      <c r="W54" s="11">
        <v>1.47318802376633</v>
      </c>
      <c r="X54" s="2">
        <f t="shared" si="4"/>
        <v>1.47318802376633E-2</v>
      </c>
      <c r="AA54" s="2">
        <f t="shared" si="5"/>
        <v>0.14663945851152332</v>
      </c>
      <c r="AD54" s="2">
        <f t="shared" si="2"/>
        <v>4.9724748337930919E-2</v>
      </c>
    </row>
    <row r="55" spans="1:30" x14ac:dyDescent="0.3">
      <c r="A55" s="2">
        <v>1951</v>
      </c>
      <c r="B55">
        <v>0.45220975451612899</v>
      </c>
      <c r="C55" s="2" t="s">
        <v>27</v>
      </c>
      <c r="D55">
        <v>0.118510941548387</v>
      </c>
      <c r="E55">
        <v>0.21822518583871001</v>
      </c>
      <c r="F55">
        <v>0.43335729112903199</v>
      </c>
      <c r="G55">
        <v>0.48091785554838701</v>
      </c>
      <c r="H55">
        <v>0.47215186074193499</v>
      </c>
      <c r="I55">
        <v>0.25242882710662401</v>
      </c>
      <c r="J55">
        <v>0.38901102868908699</v>
      </c>
      <c r="K55">
        <v>0.37801154841745699</v>
      </c>
      <c r="L55">
        <v>0.61556047152206805</v>
      </c>
      <c r="M55">
        <v>0.243239711951934</v>
      </c>
      <c r="N55" s="2" t="s">
        <v>27</v>
      </c>
      <c r="O55">
        <v>0.394608309677419</v>
      </c>
      <c r="P55">
        <v>0.37642972462486401</v>
      </c>
      <c r="Q55">
        <v>8.99844816020932E-2</v>
      </c>
      <c r="S55" s="2">
        <f t="shared" si="6"/>
        <v>0.35104621377958045</v>
      </c>
      <c r="T55" s="5">
        <f t="shared" si="7"/>
        <v>0.13554589778520929</v>
      </c>
      <c r="U55" s="2" cm="1">
        <f t="array" ref="U55">SUMPRODUCT(B$2:Q$2, B55:Q55, --ISNUMBER(B55:Q55)) /
 SUMPRODUCT(B$2:Q$2, --ISNUMBER(B55:Q55))</f>
        <v>0.34729753161349397</v>
      </c>
      <c r="V55" s="2">
        <f t="shared" si="3"/>
        <v>0.16107752539220069</v>
      </c>
      <c r="W55" s="11">
        <v>12.5170291018615</v>
      </c>
      <c r="X55" s="2">
        <f t="shared" si="4"/>
        <v>0.12517029101861499</v>
      </c>
      <c r="AA55" s="2">
        <f t="shared" si="5"/>
        <v>0.14791774257694229</v>
      </c>
      <c r="AD55" s="2">
        <f t="shared" si="2"/>
        <v>0.16107752539220069</v>
      </c>
    </row>
    <row r="56" spans="1:30" x14ac:dyDescent="0.3">
      <c r="A56" s="2">
        <v>1952</v>
      </c>
      <c r="B56">
        <v>0.45065398716129001</v>
      </c>
      <c r="C56" s="2" t="s">
        <v>27</v>
      </c>
      <c r="D56">
        <v>9.6146780000000001E-2</v>
      </c>
      <c r="E56">
        <v>0.24117776787096801</v>
      </c>
      <c r="F56">
        <v>0.37022222467742</v>
      </c>
      <c r="G56">
        <v>0.45366563690322598</v>
      </c>
      <c r="H56">
        <v>0.43176605409677399</v>
      </c>
      <c r="I56">
        <v>0.23977726297956101</v>
      </c>
      <c r="J56">
        <v>0.37595070638297801</v>
      </c>
      <c r="K56">
        <v>0.35398686603415502</v>
      </c>
      <c r="L56">
        <v>0.56726725239548104</v>
      </c>
      <c r="M56">
        <v>0.236240008010871</v>
      </c>
      <c r="N56" s="2" t="s">
        <v>27</v>
      </c>
      <c r="O56">
        <v>0.33071934525345598</v>
      </c>
      <c r="P56">
        <v>0.34361959550561799</v>
      </c>
      <c r="Q56">
        <v>8.6429236416179403E-2</v>
      </c>
      <c r="S56" s="2">
        <f t="shared" si="6"/>
        <v>0.32697305169199836</v>
      </c>
      <c r="T56" s="5">
        <f t="shared" si="7"/>
        <v>5.7675294479296771E-2</v>
      </c>
      <c r="U56" s="2" cm="1">
        <f t="array" ref="U56">SUMPRODUCT(B$2:Q$2, B56:Q56, --ISNUMBER(B56:Q56)) /
 SUMPRODUCT(B$2:Q$2, --ISNUMBER(B56:Q56))</f>
        <v>0.32262311163403767</v>
      </c>
      <c r="V56" s="2">
        <f t="shared" si="3"/>
        <v>7.8586543215804883E-2</v>
      </c>
      <c r="W56" s="11">
        <v>4.8020753991095102</v>
      </c>
      <c r="X56" s="2">
        <f t="shared" si="4"/>
        <v>4.8020753991095101E-2</v>
      </c>
      <c r="AA56" s="2">
        <f t="shared" si="5"/>
        <v>0.13578817423214173</v>
      </c>
      <c r="AD56" s="2">
        <f t="shared" si="2"/>
        <v>7.8586543215804883E-2</v>
      </c>
    </row>
    <row r="57" spans="1:30" x14ac:dyDescent="0.3">
      <c r="A57" s="2">
        <v>1953</v>
      </c>
      <c r="B57">
        <v>0.49386975100000002</v>
      </c>
      <c r="C57" s="2" t="s">
        <v>27</v>
      </c>
      <c r="D57">
        <v>0.17145857170967699</v>
      </c>
      <c r="E57">
        <v>0.25798233664516101</v>
      </c>
      <c r="F57">
        <v>0.495688538225806</v>
      </c>
      <c r="G57">
        <v>0.49221604216129</v>
      </c>
      <c r="H57">
        <v>0.50000414141935501</v>
      </c>
      <c r="I57">
        <v>0.34219468686530402</v>
      </c>
      <c r="J57">
        <v>0.38882445265614202</v>
      </c>
      <c r="K57">
        <v>0.380680957571157</v>
      </c>
      <c r="L57">
        <v>0.56256614256899895</v>
      </c>
      <c r="M57">
        <v>0.22941529666833499</v>
      </c>
      <c r="N57" s="2" t="s">
        <v>27</v>
      </c>
      <c r="O57">
        <v>0.30084185894930798</v>
      </c>
      <c r="P57">
        <v>0.36556691160565402</v>
      </c>
      <c r="Q57">
        <v>9.3784916111173497E-2</v>
      </c>
      <c r="S57" s="2">
        <f t="shared" si="6"/>
        <v>0.36250675743981159</v>
      </c>
      <c r="T57" s="5">
        <f t="shared" si="7"/>
        <v>0.17261786389373748</v>
      </c>
      <c r="U57" s="2" cm="1">
        <f t="array" ref="U57">SUMPRODUCT(B$2:Q$2, B57:Q57, --ISNUMBER(B57:Q57)) /
 SUMPRODUCT(B$2:Q$2, --ISNUMBER(B57:Q57))</f>
        <v>0.33614288721426183</v>
      </c>
      <c r="V57" s="2">
        <f t="shared" si="3"/>
        <v>0.12378556176804228</v>
      </c>
      <c r="W57" s="11">
        <v>16.185282401446401</v>
      </c>
      <c r="X57" s="2">
        <f t="shared" si="4"/>
        <v>0.16185282401446399</v>
      </c>
      <c r="AA57" s="2">
        <f t="shared" si="5"/>
        <v>0.13959952759886443</v>
      </c>
      <c r="AD57" s="2">
        <f t="shared" si="2"/>
        <v>0.12378556176804228</v>
      </c>
    </row>
    <row r="58" spans="1:30" x14ac:dyDescent="0.3">
      <c r="A58" s="2">
        <v>1954</v>
      </c>
      <c r="B58">
        <v>0.46724884038709702</v>
      </c>
      <c r="C58" s="2" t="s">
        <v>27</v>
      </c>
      <c r="D58">
        <v>0.13131776919354801</v>
      </c>
      <c r="E58">
        <v>0.17114897183871</v>
      </c>
      <c r="F58">
        <v>0.43829302332258102</v>
      </c>
      <c r="G58">
        <v>0.45174122058064498</v>
      </c>
      <c r="H58">
        <v>0.50863834835483901</v>
      </c>
      <c r="I58">
        <v>0.177724353213494</v>
      </c>
      <c r="J58">
        <v>0.34796430144131701</v>
      </c>
      <c r="K58">
        <v>0.295608048455407</v>
      </c>
      <c r="L58">
        <v>0.49034000068941402</v>
      </c>
      <c r="M58">
        <v>0.20614128106430099</v>
      </c>
      <c r="N58" s="2" t="s">
        <v>27</v>
      </c>
      <c r="O58">
        <v>0.29689577585253402</v>
      </c>
      <c r="P58">
        <v>0.30881425583182298</v>
      </c>
      <c r="Q58">
        <v>6.4117008008030996E-2</v>
      </c>
      <c r="S58" s="2">
        <f t="shared" si="6"/>
        <v>0.31114237130241007</v>
      </c>
      <c r="T58" s="5">
        <f t="shared" si="7"/>
        <v>6.467039070414779E-3</v>
      </c>
      <c r="U58" s="2" cm="1">
        <f t="array" ref="U58">SUMPRODUCT(B$2:Q$2, B58:Q58, --ISNUMBER(B58:Q58)) /
 SUMPRODUCT(B$2:Q$2, --ISNUMBER(B58:Q58))</f>
        <v>0.28525037826743221</v>
      </c>
      <c r="V58" s="2">
        <f t="shared" si="3"/>
        <v>-4.6357163043335176E-2</v>
      </c>
      <c r="W58" s="11">
        <v>-0.25562885546419201</v>
      </c>
      <c r="X58" s="2">
        <f t="shared" si="4"/>
        <v>-2.5562885546419199E-3</v>
      </c>
      <c r="AA58" s="2">
        <f t="shared" si="5"/>
        <v>0.14544592627400627</v>
      </c>
      <c r="AD58" s="2">
        <f t="shared" si="2"/>
        <v>-4.6357163043335176E-2</v>
      </c>
    </row>
    <row r="59" spans="1:30" x14ac:dyDescent="0.3">
      <c r="A59" s="2">
        <v>1955</v>
      </c>
      <c r="B59">
        <v>0.29732445619354803</v>
      </c>
      <c r="C59" s="2" t="s">
        <v>27</v>
      </c>
      <c r="D59">
        <v>2.1026134516128999E-2</v>
      </c>
      <c r="E59">
        <v>0.13812535916129001</v>
      </c>
      <c r="F59">
        <v>0.263991164548387</v>
      </c>
      <c r="G59">
        <v>0.36750144651612898</v>
      </c>
      <c r="H59">
        <v>0.42909223496774201</v>
      </c>
      <c r="I59">
        <v>0.118382492903225</v>
      </c>
      <c r="J59">
        <v>0.35076294193548302</v>
      </c>
      <c r="K59">
        <v>0.238273782284629</v>
      </c>
      <c r="L59">
        <v>0.38192955893327102</v>
      </c>
      <c r="M59">
        <v>0.17166773915456601</v>
      </c>
      <c r="N59" s="2" t="s">
        <v>27</v>
      </c>
      <c r="O59">
        <v>0.26213266285714198</v>
      </c>
      <c r="P59">
        <v>0.24474582802464601</v>
      </c>
      <c r="Q59">
        <v>5.7496896282536403E-2</v>
      </c>
      <c r="S59" s="2">
        <f t="shared" si="6"/>
        <v>0.2387466213056231</v>
      </c>
      <c r="T59" s="5">
        <f t="shared" si="7"/>
        <v>-0.22771493953811484</v>
      </c>
      <c r="U59" s="2" cm="1">
        <f t="array" ref="U59">SUMPRODUCT(B$2:Q$2, B59:Q59, --ISNUMBER(B59:Q59)) /
 SUMPRODUCT(B$2:Q$2, --ISNUMBER(B59:Q59))</f>
        <v>0.23537269548128018</v>
      </c>
      <c r="V59" s="2">
        <f t="shared" si="3"/>
        <v>-0.21310714319030738</v>
      </c>
      <c r="W59" s="11">
        <v>-23.470910821037801</v>
      </c>
      <c r="X59" s="2">
        <f t="shared" si="4"/>
        <v>-0.23470910821037802</v>
      </c>
      <c r="AA59" s="2">
        <f t="shared" si="5"/>
        <v>0.12399610710163826</v>
      </c>
      <c r="AD59" s="2">
        <f t="shared" si="2"/>
        <v>-0.21310714319030738</v>
      </c>
    </row>
    <row r="60" spans="1:30" x14ac:dyDescent="0.3">
      <c r="A60" s="2">
        <v>1956</v>
      </c>
      <c r="B60">
        <v>0.35955515645161301</v>
      </c>
      <c r="C60" s="2" t="s">
        <v>27</v>
      </c>
      <c r="D60">
        <v>9.6337926419354805E-2</v>
      </c>
      <c r="E60">
        <v>0.208212707580645</v>
      </c>
      <c r="F60">
        <v>0.32716853729032302</v>
      </c>
      <c r="G60">
        <v>0.547527492903226</v>
      </c>
      <c r="H60">
        <v>0.61876626596774198</v>
      </c>
      <c r="I60">
        <v>0.172302254301896</v>
      </c>
      <c r="J60">
        <v>0.40710890388469401</v>
      </c>
      <c r="K60">
        <v>0.41410660262618498</v>
      </c>
      <c r="L60">
        <v>0.57495997756608797</v>
      </c>
      <c r="M60">
        <v>0.18986696940132999</v>
      </c>
      <c r="N60" s="2" t="s">
        <v>27</v>
      </c>
      <c r="O60">
        <v>0.39442040095852499</v>
      </c>
      <c r="P60">
        <v>0.555998674534251</v>
      </c>
      <c r="Q60">
        <v>9.4397889419089595E-2</v>
      </c>
      <c r="S60" s="2">
        <f t="shared" si="6"/>
        <v>0.35433783995035445</v>
      </c>
      <c r="T60" s="5">
        <f t="shared" si="7"/>
        <v>0.14619347764377394</v>
      </c>
      <c r="U60" s="2" cm="1">
        <f t="array" ref="U60">SUMPRODUCT(B$2:Q$2, B60:Q60, --ISNUMBER(B60:Q60)) /
 SUMPRODUCT(B$2:Q$2, --ISNUMBER(B60:Q60))</f>
        <v>0.35890926616608054</v>
      </c>
      <c r="V60" s="2">
        <f t="shared" si="3"/>
        <v>0.19989762283773202</v>
      </c>
      <c r="W60" s="11">
        <v>13.5587377625579</v>
      </c>
      <c r="X60" s="2">
        <f t="shared" si="4"/>
        <v>0.13558737762557901</v>
      </c>
      <c r="AA60" s="2">
        <f t="shared" si="5"/>
        <v>0.17995466455944514</v>
      </c>
      <c r="AD60" s="2">
        <f t="shared" si="2"/>
        <v>0.19989762283773202</v>
      </c>
    </row>
    <row r="61" spans="1:30" x14ac:dyDescent="0.3">
      <c r="A61" s="2">
        <v>1957</v>
      </c>
      <c r="B61">
        <v>0.29715159325806401</v>
      </c>
      <c r="C61" s="2" t="s">
        <v>27</v>
      </c>
      <c r="D61">
        <v>2.2555307935483899E-2</v>
      </c>
      <c r="E61">
        <v>0.128874063387097</v>
      </c>
      <c r="F61">
        <v>0.29699006019354801</v>
      </c>
      <c r="G61">
        <v>0.40176847316129</v>
      </c>
      <c r="H61">
        <v>0.37043533203225798</v>
      </c>
      <c r="I61">
        <v>0.15904823474021099</v>
      </c>
      <c r="J61">
        <v>0.38658554026080899</v>
      </c>
      <c r="K61">
        <v>0.294911680850094</v>
      </c>
      <c r="L61">
        <v>0.46897131965995098</v>
      </c>
      <c r="M61">
        <v>0.177267502307417</v>
      </c>
      <c r="N61" s="2" t="s">
        <v>27</v>
      </c>
      <c r="O61">
        <v>0.243341790967741</v>
      </c>
      <c r="P61">
        <v>0.26558469381659999</v>
      </c>
      <c r="Q61">
        <v>6.6691495901278902E-2</v>
      </c>
      <c r="S61" s="2">
        <f t="shared" si="6"/>
        <v>0.25572693489084586</v>
      </c>
      <c r="T61" s="5">
        <f t="shared" si="7"/>
        <v>-0.17278791090788112</v>
      </c>
      <c r="U61" s="2" cm="1">
        <f t="array" ref="U61">SUMPRODUCT(B$2:Q$2, B61:Q61, --ISNUMBER(B61:Q61)) /
 SUMPRODUCT(B$2:Q$2, --ISNUMBER(B61:Q61))</f>
        <v>0.2634209474899506</v>
      </c>
      <c r="V61" s="2">
        <f t="shared" si="3"/>
        <v>-0.11933683943229893</v>
      </c>
      <c r="W61" s="11">
        <v>-18.041472834977998</v>
      </c>
      <c r="X61" s="2">
        <f t="shared" si="4"/>
        <v>-0.18041472834977998</v>
      </c>
      <c r="AA61" s="2">
        <f t="shared" si="5"/>
        <v>0.13126182241302575</v>
      </c>
      <c r="AD61" s="2">
        <f t="shared" si="2"/>
        <v>-0.11933683943229893</v>
      </c>
    </row>
    <row r="62" spans="1:30" x14ac:dyDescent="0.3">
      <c r="A62" s="2">
        <v>1958</v>
      </c>
      <c r="B62">
        <v>0.36093806087096802</v>
      </c>
      <c r="C62" s="2" t="s">
        <v>27</v>
      </c>
      <c r="D62">
        <v>0.19172011993548399</v>
      </c>
      <c r="E62">
        <v>0.14989441258064501</v>
      </c>
      <c r="F62">
        <v>0.35918028632258098</v>
      </c>
      <c r="G62">
        <v>0.45652122245161297</v>
      </c>
      <c r="H62">
        <v>0.34601445248387103</v>
      </c>
      <c r="I62">
        <v>0.20543730320610601</v>
      </c>
      <c r="J62">
        <v>0.42222156255319099</v>
      </c>
      <c r="K62">
        <v>0.32067728224667902</v>
      </c>
      <c r="L62">
        <v>0.48335956488645598</v>
      </c>
      <c r="M62">
        <v>0.218390762961161</v>
      </c>
      <c r="N62" s="2" t="s">
        <v>27</v>
      </c>
      <c r="O62">
        <v>0.29407714506912402</v>
      </c>
      <c r="P62">
        <v>0.27201370560347898</v>
      </c>
      <c r="Q62">
        <v>8.1157665968100395E-2</v>
      </c>
      <c r="S62" s="2">
        <f t="shared" si="6"/>
        <v>0.29725739622424702</v>
      </c>
      <c r="T62" s="5">
        <f t="shared" si="7"/>
        <v>-3.844735075051612E-2</v>
      </c>
      <c r="U62" s="2" cm="1">
        <f t="array" ref="U62">SUMPRODUCT(B$2:Q$2, B62:Q62, --ISNUMBER(B62:Q62)) /
 SUMPRODUCT(B$2:Q$2, --ISNUMBER(B62:Q62))</f>
        <v>0.29256537795044252</v>
      </c>
      <c r="V62" s="2">
        <f t="shared" si="3"/>
        <v>-2.1901815806239129E-2</v>
      </c>
      <c r="W62" s="11">
        <v>-4.72443792024586</v>
      </c>
      <c r="X62" s="2">
        <f t="shared" si="4"/>
        <v>-4.7244379202458602E-2</v>
      </c>
      <c r="AA62" s="2">
        <f t="shared" si="5"/>
        <v>0.11808788501831601</v>
      </c>
      <c r="AD62" s="2">
        <f t="shared" si="2"/>
        <v>-2.1901815806239129E-2</v>
      </c>
    </row>
    <row r="63" spans="1:30" x14ac:dyDescent="0.3">
      <c r="A63" s="2">
        <v>1959</v>
      </c>
      <c r="B63">
        <v>0.405882455451613</v>
      </c>
      <c r="C63" s="2" t="s">
        <v>27</v>
      </c>
      <c r="D63">
        <v>0.142786569903226</v>
      </c>
      <c r="E63">
        <v>9.5147820580645207E-2</v>
      </c>
      <c r="F63">
        <v>0.36453908135483898</v>
      </c>
      <c r="G63">
        <v>0.38643522032258099</v>
      </c>
      <c r="H63">
        <v>0.434829804741935</v>
      </c>
      <c r="I63">
        <v>0.189773461905934</v>
      </c>
      <c r="J63">
        <v>0.38807814852436501</v>
      </c>
      <c r="K63">
        <v>0.29363500690701999</v>
      </c>
      <c r="L63">
        <v>0.45045179610108299</v>
      </c>
      <c r="M63">
        <v>0.20141648090408401</v>
      </c>
      <c r="N63" s="2" t="s">
        <v>27</v>
      </c>
      <c r="O63">
        <v>0.27904444755760299</v>
      </c>
      <c r="P63">
        <v>0.25671709135193899</v>
      </c>
      <c r="Q63">
        <v>4.6438857807728703E-2</v>
      </c>
      <c r="S63" s="2">
        <f t="shared" si="6"/>
        <v>0.28108401738675681</v>
      </c>
      <c r="T63" s="5">
        <f t="shared" si="7"/>
        <v>-9.0764149141538686E-2</v>
      </c>
      <c r="U63" s="2" cm="1">
        <f t="array" ref="U63">SUMPRODUCT(B$2:Q$2, B63:Q63, --ISNUMBER(B63:Q63)) /
 SUMPRODUCT(B$2:Q$2, --ISNUMBER(B63:Q63))</f>
        <v>0.26722339678773738</v>
      </c>
      <c r="V63" s="2">
        <f t="shared" si="3"/>
        <v>-0.10662457395608774</v>
      </c>
      <c r="W63" s="11">
        <v>-9.8896127319418596</v>
      </c>
      <c r="X63" s="2">
        <f t="shared" si="4"/>
        <v>-9.8896127319418603E-2</v>
      </c>
      <c r="AA63" s="2">
        <f t="shared" si="5"/>
        <v>0.13056268811313038</v>
      </c>
      <c r="AD63" s="2">
        <f t="shared" si="2"/>
        <v>-0.10662457395608774</v>
      </c>
    </row>
    <row r="64" spans="1:30" x14ac:dyDescent="0.3">
      <c r="A64" s="2">
        <v>1960</v>
      </c>
      <c r="B64">
        <v>0.32705690203225801</v>
      </c>
      <c r="C64" s="2" t="s">
        <v>27</v>
      </c>
      <c r="D64">
        <v>4.5301763193548401E-2</v>
      </c>
      <c r="E64">
        <v>0.12676617312903199</v>
      </c>
      <c r="F64">
        <v>0.26977302235483902</v>
      </c>
      <c r="G64">
        <v>0.36632196541935502</v>
      </c>
      <c r="H64">
        <v>0.45076130929032199</v>
      </c>
      <c r="I64">
        <v>0.12139477007633501</v>
      </c>
      <c r="J64">
        <v>0.34274017251887401</v>
      </c>
      <c r="K64">
        <v>0.25672752382542602</v>
      </c>
      <c r="L64">
        <v>0.42438200524513697</v>
      </c>
      <c r="M64">
        <v>0.17394264293541201</v>
      </c>
      <c r="N64" s="2" t="s">
        <v>27</v>
      </c>
      <c r="O64">
        <v>0.26683038082949301</v>
      </c>
      <c r="P64">
        <v>0.223241892047843</v>
      </c>
      <c r="Q64">
        <v>5.2102731172874103E-2</v>
      </c>
      <c r="S64" s="2">
        <f t="shared" si="6"/>
        <v>0.24623880386219626</v>
      </c>
      <c r="T64" s="5">
        <f t="shared" si="7"/>
        <v>-0.20347961998865946</v>
      </c>
      <c r="U64" s="2" cm="1">
        <f t="array" ref="U64">SUMPRODUCT(B$2:Q$2, B64:Q64, --ISNUMBER(B64:Q64)) /
 SUMPRODUCT(B$2:Q$2, --ISNUMBER(B64:Q64))</f>
        <v>0.24204918108453369</v>
      </c>
      <c r="V64" s="2">
        <f t="shared" si="3"/>
        <v>-0.19078646228443411</v>
      </c>
      <c r="W64" s="11">
        <v>-21.0665081368785</v>
      </c>
      <c r="X64" s="2">
        <f t="shared" si="4"/>
        <v>-0.21066508136878501</v>
      </c>
      <c r="AA64" s="2">
        <f t="shared" si="5"/>
        <v>0.12967302967433506</v>
      </c>
      <c r="AD64" s="2">
        <f t="shared" si="2"/>
        <v>-0.19078646228443411</v>
      </c>
    </row>
    <row r="65" spans="1:30" x14ac:dyDescent="0.3">
      <c r="A65" s="2">
        <v>1961</v>
      </c>
      <c r="B65">
        <v>0.30009026525806498</v>
      </c>
      <c r="C65" s="2" t="s">
        <v>27</v>
      </c>
      <c r="D65">
        <v>2.3702187999999999E-2</v>
      </c>
      <c r="E65">
        <v>7.7816279096774202E-2</v>
      </c>
      <c r="F65">
        <v>0.25891441145161298</v>
      </c>
      <c r="G65">
        <v>0.31765285506451602</v>
      </c>
      <c r="H65">
        <v>0.36363937561290299</v>
      </c>
      <c r="I65">
        <v>6.5065186939177497E-2</v>
      </c>
      <c r="J65">
        <v>0.34703142127659498</v>
      </c>
      <c r="K65">
        <v>0.218891550603415</v>
      </c>
      <c r="L65">
        <v>0.40087645611272799</v>
      </c>
      <c r="M65">
        <v>0.16431805001645</v>
      </c>
      <c r="N65">
        <v>0.225490462672811</v>
      </c>
      <c r="O65">
        <v>0.22530255395391699</v>
      </c>
      <c r="P65">
        <v>0.21636950013773101</v>
      </c>
      <c r="Q65">
        <v>3.3946461792397298E-2</v>
      </c>
      <c r="S65" s="2">
        <f t="shared" si="6"/>
        <v>0.21594046786593954</v>
      </c>
      <c r="T65" s="5">
        <f t="shared" si="7"/>
        <v>-0.30148708966007437</v>
      </c>
      <c r="U65" s="2" cm="1">
        <f t="array" ref="U65">SUMPRODUCT(B$2:Q$2, B65:Q65, --ISNUMBER(B65:Q65)) /
 SUMPRODUCT(B$2:Q$2, --ISNUMBER(B65:Q65))</f>
        <v>0.21769794003616152</v>
      </c>
      <c r="V65" s="2">
        <f t="shared" si="3"/>
        <v>-0.27219699971416333</v>
      </c>
      <c r="W65" s="11">
        <v>-30.813608563875199</v>
      </c>
      <c r="X65" s="2">
        <f t="shared" si="4"/>
        <v>-0.308136085638752</v>
      </c>
      <c r="AA65" s="2">
        <f t="shared" si="5"/>
        <v>0.12166878856504611</v>
      </c>
      <c r="AD65" s="2">
        <f t="shared" si="2"/>
        <v>-0.27219699971416333</v>
      </c>
    </row>
    <row r="66" spans="1:30" x14ac:dyDescent="0.3">
      <c r="A66" s="2">
        <v>1962</v>
      </c>
      <c r="B66">
        <v>0.27986528767741897</v>
      </c>
      <c r="C66" s="2" t="s">
        <v>27</v>
      </c>
      <c r="D66">
        <v>2.0261547806451601E-2</v>
      </c>
      <c r="E66">
        <v>0.108556343967742</v>
      </c>
      <c r="F66">
        <v>0.20321114748387101</v>
      </c>
      <c r="G66">
        <v>0.30455440819354801</v>
      </c>
      <c r="H66">
        <v>0.49220550280645198</v>
      </c>
      <c r="I66">
        <v>5.6028355419847298E-2</v>
      </c>
      <c r="J66">
        <v>0.33546370723404201</v>
      </c>
      <c r="K66">
        <v>0.175716759074003</v>
      </c>
      <c r="L66">
        <v>0.32907768785373198</v>
      </c>
      <c r="M66">
        <v>0.232915148638867</v>
      </c>
      <c r="N66">
        <v>0.23480419917451401</v>
      </c>
      <c r="O66">
        <v>0.26213266285714198</v>
      </c>
      <c r="P66">
        <v>0.23033597401957201</v>
      </c>
      <c r="Q66">
        <v>4.52864679888463E-2</v>
      </c>
      <c r="S66" s="2">
        <f t="shared" ref="S66:S97" si="8">AVERAGEIF(B66:Q66, "&lt;&gt;NA")</f>
        <v>0.22069434667973661</v>
      </c>
      <c r="T66" s="5">
        <f t="shared" si="7"/>
        <v>-0.28610949157276155</v>
      </c>
      <c r="U66" s="2" cm="1">
        <f t="array" ref="U66">SUMPRODUCT(B$2:Q$2, B66:Q66, --ISNUMBER(B66:Q66)) /
 SUMPRODUCT(B$2:Q$2, --ISNUMBER(B66:Q66))</f>
        <v>0.21589216849993723</v>
      </c>
      <c r="V66" s="2">
        <f t="shared" si="3"/>
        <v>-0.27823401568995304</v>
      </c>
      <c r="W66" s="11">
        <v>-29.271885213190401</v>
      </c>
      <c r="X66" s="2">
        <f t="shared" si="4"/>
        <v>-0.29271885213190402</v>
      </c>
      <c r="AA66" s="2">
        <f t="shared" si="5"/>
        <v>0.12657273474966732</v>
      </c>
      <c r="AD66" s="2">
        <f t="shared" si="2"/>
        <v>-0.27823401568995304</v>
      </c>
    </row>
    <row r="67" spans="1:30" x14ac:dyDescent="0.3">
      <c r="A67" s="2">
        <v>1963</v>
      </c>
      <c r="B67">
        <v>0.32653831280645201</v>
      </c>
      <c r="C67" s="2" t="s">
        <v>27</v>
      </c>
      <c r="D67">
        <v>3.5553281999999999E-2</v>
      </c>
      <c r="E67">
        <v>0.100944518483871</v>
      </c>
      <c r="F67">
        <v>0.24100475451612899</v>
      </c>
      <c r="G67">
        <v>0.32311571419354801</v>
      </c>
      <c r="H67">
        <v>0.39472252074193498</v>
      </c>
      <c r="I67">
        <v>0.121093542359024</v>
      </c>
      <c r="J67">
        <v>0.34703142127659498</v>
      </c>
      <c r="K67">
        <v>0.22295369496774101</v>
      </c>
      <c r="L67">
        <v>0.41782894306276902</v>
      </c>
      <c r="M67">
        <v>0.16256812403118501</v>
      </c>
      <c r="N67">
        <v>0.33039254748146601</v>
      </c>
      <c r="O67">
        <v>0.26213266285714198</v>
      </c>
      <c r="P67">
        <v>0.218364710692279</v>
      </c>
      <c r="Q67">
        <v>5.1980136511290902E-2</v>
      </c>
      <c r="S67" s="2">
        <f t="shared" si="8"/>
        <v>0.23708165906542847</v>
      </c>
      <c r="T67" s="5">
        <f t="shared" si="7"/>
        <v>-0.23310067214996805</v>
      </c>
      <c r="U67" s="2" cm="1">
        <f t="array" ref="U67">SUMPRODUCT(B$2:Q$2, B67:Q67, --ISNUMBER(B67:Q67)) /
 SUMPRODUCT(B$2:Q$2, --ISNUMBER(B67:Q67))</f>
        <v>0.23399429315557174</v>
      </c>
      <c r="V67" s="2">
        <f t="shared" si="3"/>
        <v>-0.21771538775194602</v>
      </c>
      <c r="W67" s="11">
        <v>-24.069723705359099</v>
      </c>
      <c r="X67" s="2">
        <f t="shared" si="4"/>
        <v>-0.240697237053591</v>
      </c>
      <c r="AA67" s="2">
        <f t="shared" si="5"/>
        <v>0.12169294032980275</v>
      </c>
      <c r="AD67" s="2">
        <f t="shared" si="2"/>
        <v>-0.21771538775194602</v>
      </c>
    </row>
    <row r="68" spans="1:30" x14ac:dyDescent="0.3">
      <c r="A68" s="2">
        <v>1964</v>
      </c>
      <c r="B68">
        <v>0.28435972706451601</v>
      </c>
      <c r="C68">
        <v>0.108447653960904</v>
      </c>
      <c r="D68">
        <v>2.9627734999999999E-2</v>
      </c>
      <c r="E68">
        <v>8.5252447161290407E-2</v>
      </c>
      <c r="F68">
        <v>0.23733821051612899</v>
      </c>
      <c r="G68">
        <v>0.34242195587096802</v>
      </c>
      <c r="H68">
        <v>0.457445856741935</v>
      </c>
      <c r="I68">
        <v>8.4042533129770905E-2</v>
      </c>
      <c r="J68">
        <v>0.40486999148936098</v>
      </c>
      <c r="K68">
        <v>0.20960664919924099</v>
      </c>
      <c r="L68">
        <v>0.396032888412716</v>
      </c>
      <c r="M68">
        <v>0.162743116629711</v>
      </c>
      <c r="N68">
        <v>0.26519639196954498</v>
      </c>
      <c r="O68">
        <v>0.24709996534562201</v>
      </c>
      <c r="P68">
        <v>0.22612386284885799</v>
      </c>
      <c r="Q68">
        <v>5.0263811249125601E-2</v>
      </c>
      <c r="S68" s="2">
        <f t="shared" si="8"/>
        <v>0.22442954978685581</v>
      </c>
      <c r="T68" s="5">
        <f t="shared" si="7"/>
        <v>-0.27402705228359442</v>
      </c>
      <c r="U68" s="2" cm="1">
        <f t="array" ref="U68">SUMPRODUCT(B$2:Q$2, B68:Q68, --ISNUMBER(B68:Q68)) /
 SUMPRODUCT(B$2:Q$2, --ISNUMBER(B68:Q68))</f>
        <v>0.23016653878110588</v>
      </c>
      <c r="V68" s="2">
        <f t="shared" si="3"/>
        <v>-0.23051225260804312</v>
      </c>
      <c r="W68" s="11">
        <v>-28.098443520081101</v>
      </c>
      <c r="X68" s="2">
        <f t="shared" si="4"/>
        <v>-0.28098443520081101</v>
      </c>
      <c r="AA68" s="2">
        <f t="shared" si="5"/>
        <v>0.13190886904797408</v>
      </c>
      <c r="AD68" s="2">
        <f t="shared" si="2"/>
        <v>-0.23051225260804312</v>
      </c>
    </row>
    <row r="69" spans="1:30" x14ac:dyDescent="0.3">
      <c r="A69" s="2">
        <v>1965</v>
      </c>
      <c r="B69">
        <v>0.41746428025806498</v>
      </c>
      <c r="C69">
        <v>0.33462641864201098</v>
      </c>
      <c r="D69">
        <v>0.218862948548387</v>
      </c>
      <c r="E69">
        <v>0.26547705741935501</v>
      </c>
      <c r="F69">
        <v>0.40515310677419403</v>
      </c>
      <c r="G69">
        <v>0.58098750625806395</v>
      </c>
      <c r="H69">
        <v>0.56417579593548395</v>
      </c>
      <c r="I69">
        <v>0.142360219201182</v>
      </c>
      <c r="J69">
        <v>0.41830346586135903</v>
      </c>
      <c r="K69">
        <v>0.28551071817836798</v>
      </c>
      <c r="L69">
        <v>0.54190975090718496</v>
      </c>
      <c r="M69">
        <v>0.203341399487876</v>
      </c>
      <c r="N69">
        <v>0.50735354101382402</v>
      </c>
      <c r="O69">
        <v>0.30309676357603599</v>
      </c>
      <c r="P69">
        <v>0.41810745620877099</v>
      </c>
      <c r="Q69">
        <v>0.10923184347066001</v>
      </c>
      <c r="S69" s="2">
        <f t="shared" si="8"/>
        <v>0.35724764198380132</v>
      </c>
      <c r="T69" s="5">
        <f t="shared" si="7"/>
        <v>0.15560595279020112</v>
      </c>
      <c r="U69" s="2" cm="1">
        <f t="array" ref="U69">SUMPRODUCT(B$2:Q$2, B69:Q69, --ISNUMBER(B69:Q69)) /
 SUMPRODUCT(B$2:Q$2, --ISNUMBER(B69:Q69))</f>
        <v>0.32828156526963709</v>
      </c>
      <c r="V69" s="2">
        <f t="shared" si="3"/>
        <v>9.7503761873379127E-2</v>
      </c>
      <c r="W69" s="11">
        <v>14.438957872644901</v>
      </c>
      <c r="X69" s="2">
        <f t="shared" si="4"/>
        <v>0.144389578726449</v>
      </c>
      <c r="AA69" s="2">
        <f t="shared" si="5"/>
        <v>0.14841413461494277</v>
      </c>
      <c r="AD69" s="2">
        <f t="shared" si="2"/>
        <v>9.7503761873379127E-2</v>
      </c>
    </row>
    <row r="70" spans="1:30" x14ac:dyDescent="0.3">
      <c r="A70" s="2">
        <v>1966</v>
      </c>
      <c r="B70">
        <v>0.45877855048387101</v>
      </c>
      <c r="C70">
        <v>0.23588419674764699</v>
      </c>
      <c r="D70">
        <v>0.14336001000000001</v>
      </c>
      <c r="E70">
        <v>0.19140813870967699</v>
      </c>
      <c r="F70">
        <v>0.36919277177419402</v>
      </c>
      <c r="G70">
        <v>0.46812979851612901</v>
      </c>
      <c r="H70">
        <v>0.54991542825806505</v>
      </c>
      <c r="I70">
        <v>0.19640047168677599</v>
      </c>
      <c r="J70">
        <v>0.39964586256691798</v>
      </c>
      <c r="K70">
        <v>0.29142984282352902</v>
      </c>
      <c r="L70">
        <v>0.54646840286013698</v>
      </c>
      <c r="M70">
        <v>0.33458584838280497</v>
      </c>
      <c r="N70">
        <v>0.37205926341013801</v>
      </c>
      <c r="O70">
        <v>0.38972268298617502</v>
      </c>
      <c r="P70">
        <v>0.16959289713664299</v>
      </c>
      <c r="Q70">
        <v>0.107638112870078</v>
      </c>
      <c r="S70" s="2">
        <f t="shared" si="8"/>
        <v>0.32651326745079889</v>
      </c>
      <c r="T70" s="5">
        <f t="shared" ref="T70:T101" si="9">((S70-$V$1)/$V$1)</f>
        <v>5.6188008508201895E-2</v>
      </c>
      <c r="U70" s="2" cm="1">
        <f t="array" ref="U70">SUMPRODUCT(B$2:Q$2, B70:Q70, --ISNUMBER(B70:Q70)) /
 SUMPRODUCT(B$2:Q$2, --ISNUMBER(B70:Q70))</f>
        <v>0.31882159307518515</v>
      </c>
      <c r="V70" s="2">
        <f t="shared" si="3"/>
        <v>6.5877389365678538E-2</v>
      </c>
      <c r="W70" s="11">
        <v>4.6303417985485602</v>
      </c>
      <c r="X70" s="2">
        <f t="shared" si="4"/>
        <v>4.6303417985485602E-2</v>
      </c>
      <c r="AA70" s="2">
        <f t="shared" si="5"/>
        <v>0.14138499385126674</v>
      </c>
      <c r="AD70" s="2">
        <f t="shared" ref="AD70:AD127" si="10">V70</f>
        <v>6.5877389365678538E-2</v>
      </c>
    </row>
    <row r="71" spans="1:30" x14ac:dyDescent="0.3">
      <c r="A71" s="2">
        <v>1967</v>
      </c>
      <c r="B71">
        <v>0.32394536687096798</v>
      </c>
      <c r="C71">
        <v>0.188622962336669</v>
      </c>
      <c r="D71">
        <v>0.20834988099999999</v>
      </c>
      <c r="E71">
        <v>0.15100691019354801</v>
      </c>
      <c r="F71">
        <v>0.29064411848387101</v>
      </c>
      <c r="G71">
        <v>0.392208469483871</v>
      </c>
      <c r="H71">
        <v>0.42925934867741899</v>
      </c>
      <c r="I71">
        <v>0.14073358952770201</v>
      </c>
      <c r="J71">
        <v>0.35206897416609401</v>
      </c>
      <c r="K71">
        <v>0.25916481044402201</v>
      </c>
      <c r="L71">
        <v>0.45372832719226702</v>
      </c>
      <c r="M71">
        <v>0.230815237456548</v>
      </c>
      <c r="N71">
        <v>0.38137299991184098</v>
      </c>
      <c r="O71">
        <v>0.33128307141013802</v>
      </c>
      <c r="P71">
        <v>0.25583033110547299</v>
      </c>
      <c r="Q71">
        <v>6.5955927931779498E-2</v>
      </c>
      <c r="S71" s="2">
        <f t="shared" si="8"/>
        <v>0.27843689538701316</v>
      </c>
      <c r="T71" s="5">
        <f t="shared" si="9"/>
        <v>-9.9326920679172426E-2</v>
      </c>
      <c r="U71" s="2" cm="1">
        <f t="array" ref="U71">SUMPRODUCT(B$2:Q$2, B71:Q71, --ISNUMBER(B71:Q71)) /
 SUMPRODUCT(B$2:Q$2, --ISNUMBER(B71:Q71))</f>
        <v>0.27279319818984787</v>
      </c>
      <c r="V71" s="2">
        <f t="shared" ref="V71:V129" si="11">((U71-$V$2)/$V$2)</f>
        <v>-8.8003735510032974E-2</v>
      </c>
      <c r="W71" s="11">
        <v>-10.788960293690501</v>
      </c>
      <c r="X71" s="2">
        <f t="shared" ref="X71:X126" si="12">W71/100</f>
        <v>-0.10788960293690501</v>
      </c>
      <c r="AA71" s="2">
        <f t="shared" ref="AA71:AA129" si="13">STDEV(B71:Q71)</f>
        <v>0.11073287297344743</v>
      </c>
      <c r="AD71" s="2">
        <f t="shared" si="10"/>
        <v>-8.8003735510032974E-2</v>
      </c>
    </row>
    <row r="72" spans="1:30" x14ac:dyDescent="0.3">
      <c r="A72" s="2">
        <v>1968</v>
      </c>
      <c r="B72">
        <v>0.37390279006451599</v>
      </c>
      <c r="C72">
        <v>0.195374567252524</v>
      </c>
      <c r="D72">
        <v>6.07846444193548E-2</v>
      </c>
      <c r="E72">
        <v>0.16775292670967701</v>
      </c>
      <c r="F72">
        <v>0.42292174293548401</v>
      </c>
      <c r="G72">
        <v>0.37675106064516101</v>
      </c>
      <c r="H72">
        <v>0.41912111858064499</v>
      </c>
      <c r="I72">
        <v>0.17109734343265201</v>
      </c>
      <c r="J72">
        <v>0.42427389891557898</v>
      </c>
      <c r="K72">
        <v>0.30605356253510402</v>
      </c>
      <c r="L72">
        <v>0.49974222034237697</v>
      </c>
      <c r="M72">
        <v>0.23449008202560601</v>
      </c>
      <c r="N72">
        <v>0.375490640016028</v>
      </c>
      <c r="O72">
        <v>0.32207554418433099</v>
      </c>
      <c r="P72">
        <v>0.19087514305183001</v>
      </c>
      <c r="Q72">
        <v>8.2015828599183105E-2</v>
      </c>
      <c r="S72" s="2">
        <f t="shared" si="8"/>
        <v>0.28892019460687829</v>
      </c>
      <c r="T72" s="5">
        <f t="shared" si="9"/>
        <v>-6.5416093679490445E-2</v>
      </c>
      <c r="U72" s="2" cm="1">
        <f t="array" ref="U72">SUMPRODUCT(B$2:Q$2, B72:Q72, --ISNUMBER(B72:Q72)) /
 SUMPRODUCT(B$2:Q$2, --ISNUMBER(B72:Q72))</f>
        <v>0.29092833575289834</v>
      </c>
      <c r="V72" s="2">
        <f t="shared" si="11"/>
        <v>-2.7374739540700119E-2</v>
      </c>
      <c r="W72" s="11">
        <v>-7.4416484734398596</v>
      </c>
      <c r="X72" s="2">
        <f t="shared" si="12"/>
        <v>-7.4416484734398602E-2</v>
      </c>
      <c r="AA72" s="2">
        <f t="shared" si="13"/>
        <v>0.13322763780630431</v>
      </c>
      <c r="AD72" s="2">
        <f t="shared" si="10"/>
        <v>-2.7374739540700119E-2</v>
      </c>
    </row>
    <row r="73" spans="1:30" x14ac:dyDescent="0.3">
      <c r="A73" s="2">
        <v>1969</v>
      </c>
      <c r="B73">
        <v>0.50372294512903204</v>
      </c>
      <c r="C73">
        <v>0.28820913484551502</v>
      </c>
      <c r="D73">
        <v>0.203380067483871</v>
      </c>
      <c r="E73">
        <v>0.247267228322581</v>
      </c>
      <c r="F73">
        <v>0.427998495935484</v>
      </c>
      <c r="G73">
        <v>0.54510645287096804</v>
      </c>
      <c r="H73">
        <v>0.68427482987096799</v>
      </c>
      <c r="I73">
        <v>0.19483408755675899</v>
      </c>
      <c r="J73">
        <v>0.42707253940974599</v>
      </c>
      <c r="K73">
        <v>0.301759295635673</v>
      </c>
      <c r="L73">
        <v>0.55059968119250002</v>
      </c>
      <c r="M73">
        <v>0.30903692899792501</v>
      </c>
      <c r="N73">
        <v>1.02990317842516</v>
      </c>
      <c r="O73">
        <v>0.35965728796313301</v>
      </c>
      <c r="P73">
        <v>0.26780159443276502</v>
      </c>
      <c r="Q73">
        <v>0.12002017368998499</v>
      </c>
      <c r="S73" s="2">
        <f t="shared" si="8"/>
        <v>0.40379024511012906</v>
      </c>
      <c r="T73" s="5">
        <f t="shared" si="9"/>
        <v>0.30615952658698753</v>
      </c>
      <c r="U73" s="2" cm="1">
        <f t="array" ref="U73">SUMPRODUCT(B$2:Q$2, B73:Q73, --ISNUMBER(B73:Q73)) /
 SUMPRODUCT(B$2:Q$2, --ISNUMBER(B73:Q73))</f>
        <v>0.36075677588475941</v>
      </c>
      <c r="V73" s="2">
        <f t="shared" si="11"/>
        <v>0.20607417699386396</v>
      </c>
      <c r="W73" s="11">
        <v>29.2816116894431</v>
      </c>
      <c r="X73" s="2">
        <f t="shared" si="12"/>
        <v>0.29281611689443099</v>
      </c>
      <c r="AA73" s="2">
        <f t="shared" si="13"/>
        <v>0.22588594330601455</v>
      </c>
      <c r="AD73" s="2">
        <f t="shared" si="10"/>
        <v>0.20607417699386396</v>
      </c>
    </row>
    <row r="74" spans="1:30" x14ac:dyDescent="0.3">
      <c r="A74" s="2">
        <v>1970</v>
      </c>
      <c r="B74">
        <v>0.47191614296774198</v>
      </c>
      <c r="C74">
        <v>0.260780739874859</v>
      </c>
      <c r="D74">
        <v>0.101498887064516</v>
      </c>
      <c r="E74">
        <v>0.19907851664516099</v>
      </c>
      <c r="F74">
        <v>0.49103484770967698</v>
      </c>
      <c r="G74">
        <v>0.49131591183870998</v>
      </c>
      <c r="H74">
        <v>0.51114505358064499</v>
      </c>
      <c r="I74">
        <v>0.18676118473282399</v>
      </c>
      <c r="J74">
        <v>0.401884774962251</v>
      </c>
      <c r="K74">
        <v>0.30164323436812102</v>
      </c>
      <c r="L74">
        <v>0.47965566017468197</v>
      </c>
      <c r="M74">
        <v>0.24393968234604099</v>
      </c>
      <c r="N74">
        <v>0.51519668754157399</v>
      </c>
      <c r="O74">
        <v>0.33522915450691199</v>
      </c>
      <c r="P74">
        <v>0.33741227378035499</v>
      </c>
      <c r="Q74">
        <v>9.7217566635504002E-2</v>
      </c>
      <c r="S74" s="2">
        <f t="shared" si="8"/>
        <v>0.33910689492059848</v>
      </c>
      <c r="T74" s="5">
        <f t="shared" si="9"/>
        <v>9.6925214751210451E-2</v>
      </c>
      <c r="U74" s="2" cm="1">
        <f t="array" ref="U74">SUMPRODUCT(B$2:Q$2, B74:Q74, --ISNUMBER(B74:Q74)) /
 SUMPRODUCT(B$2:Q$2, --ISNUMBER(B74:Q74))</f>
        <v>0.31627311427335808</v>
      </c>
      <c r="V74" s="2">
        <f t="shared" si="11"/>
        <v>5.7357370674520965E-2</v>
      </c>
      <c r="W74" s="11">
        <v>8.6298511489380996</v>
      </c>
      <c r="X74" s="2">
        <f t="shared" si="12"/>
        <v>8.6298511489381002E-2</v>
      </c>
      <c r="AA74" s="2">
        <f t="shared" si="13"/>
        <v>0.14664836374395893</v>
      </c>
      <c r="AD74" s="2">
        <f t="shared" si="10"/>
        <v>5.7357370674520965E-2</v>
      </c>
    </row>
    <row r="75" spans="1:30" x14ac:dyDescent="0.3">
      <c r="A75" s="2">
        <v>1971</v>
      </c>
      <c r="B75">
        <v>0.52982526661290297</v>
      </c>
      <c r="C75">
        <v>0.45277950466945599</v>
      </c>
      <c r="D75">
        <v>0.26760535193548401</v>
      </c>
      <c r="E75">
        <v>0.37947878441935501</v>
      </c>
      <c r="F75">
        <v>0.48341971816128998</v>
      </c>
      <c r="G75">
        <v>0.69670079958064501</v>
      </c>
      <c r="H75">
        <v>0.76649476222580604</v>
      </c>
      <c r="I75" s="2" t="s">
        <v>27</v>
      </c>
      <c r="J75">
        <v>0.43211009229924502</v>
      </c>
      <c r="K75">
        <v>0.415731460371916</v>
      </c>
      <c r="L75">
        <v>0.65715817059275605</v>
      </c>
      <c r="M75">
        <v>0.33213595200343299</v>
      </c>
      <c r="N75">
        <v>0.88039319773993097</v>
      </c>
      <c r="O75">
        <v>0.46451035310598998</v>
      </c>
      <c r="P75">
        <v>0.74554367721638204</v>
      </c>
      <c r="Q75">
        <v>0.13889975157380299</v>
      </c>
      <c r="S75" s="2">
        <f t="shared" si="8"/>
        <v>0.509519122833893</v>
      </c>
      <c r="T75" s="5">
        <f t="shared" si="9"/>
        <v>0.64816576013673599</v>
      </c>
      <c r="U75" s="2" cm="1">
        <f t="array" ref="U75">SUMPRODUCT(B$2:Q$2, B75:Q75, --ISNUMBER(B75:Q75)) /
 SUMPRODUCT(B$2:Q$2, --ISNUMBER(B75:Q75))</f>
        <v>0.46254554516350144</v>
      </c>
      <c r="V75" s="2">
        <f t="shared" si="11"/>
        <v>0.54637216816532641</v>
      </c>
      <c r="W75" s="11">
        <v>63.216391271123598</v>
      </c>
      <c r="X75" s="2">
        <f t="shared" si="12"/>
        <v>0.63216391271123595</v>
      </c>
      <c r="AA75" s="2">
        <f t="shared" si="13"/>
        <v>0.20380473199235524</v>
      </c>
      <c r="AD75" s="2">
        <f t="shared" si="10"/>
        <v>0.54637216816532641</v>
      </c>
    </row>
    <row r="76" spans="1:30" x14ac:dyDescent="0.3">
      <c r="A76" s="2">
        <v>1972</v>
      </c>
      <c r="B76">
        <v>0.51703340048387103</v>
      </c>
      <c r="C76">
        <v>0.36332073953439098</v>
      </c>
      <c r="D76">
        <v>0.16209238464516099</v>
      </c>
      <c r="E76">
        <v>0.30459013067741902</v>
      </c>
      <c r="F76">
        <v>0.43490852116129097</v>
      </c>
      <c r="G76">
        <v>0.56050178374193604</v>
      </c>
      <c r="H76">
        <v>0.64327627283871003</v>
      </c>
      <c r="I76" s="2" t="s">
        <v>27</v>
      </c>
      <c r="J76">
        <v>0.40486999148936098</v>
      </c>
      <c r="K76">
        <v>0.46691447936242803</v>
      </c>
      <c r="L76">
        <v>0.674395573289856</v>
      </c>
      <c r="M76">
        <v>0.26388883857807</v>
      </c>
      <c r="N76">
        <v>0.630392902167902</v>
      </c>
      <c r="O76">
        <v>0.38897104811059902</v>
      </c>
      <c r="P76">
        <v>0.56575303724537795</v>
      </c>
      <c r="Q76">
        <v>0.117813469781487</v>
      </c>
      <c r="S76" s="2">
        <f t="shared" si="8"/>
        <v>0.43324817154052397</v>
      </c>
      <c r="T76" s="5">
        <f t="shared" si="9"/>
        <v>0.4014484834315612</v>
      </c>
      <c r="U76" s="2" cm="1">
        <f t="array" ref="U76">SUMPRODUCT(B$2:Q$2, B76:Q76, --ISNUMBER(B76:Q76)) /
 SUMPRODUCT(B$2:Q$2, --ISNUMBER(B76:Q76))</f>
        <v>0.41632969616254517</v>
      </c>
      <c r="V76" s="2">
        <f t="shared" si="11"/>
        <v>0.39186435078282877</v>
      </c>
      <c r="W76" s="11">
        <v>38.789104289481401</v>
      </c>
      <c r="X76" s="2">
        <f t="shared" si="12"/>
        <v>0.38789104289481402</v>
      </c>
      <c r="AA76" s="2">
        <f t="shared" si="13"/>
        <v>0.17091198609971522</v>
      </c>
      <c r="AD76" s="2">
        <f t="shared" si="10"/>
        <v>0.39186435078282877</v>
      </c>
    </row>
    <row r="77" spans="1:30" x14ac:dyDescent="0.3">
      <c r="A77" s="2">
        <v>1973</v>
      </c>
      <c r="B77">
        <v>0.448061041064516</v>
      </c>
      <c r="C77">
        <v>0.26753234479071297</v>
      </c>
      <c r="D77">
        <v>0.105704113709677</v>
      </c>
      <c r="E77">
        <v>0.203528507096774</v>
      </c>
      <c r="F77">
        <v>0.39119203551612902</v>
      </c>
      <c r="G77">
        <v>0.51369501177419397</v>
      </c>
      <c r="H77">
        <v>0.57587375377419403</v>
      </c>
      <c r="I77" s="2" t="s">
        <v>27</v>
      </c>
      <c r="J77">
        <v>0.413265912971859</v>
      </c>
      <c r="K77">
        <v>0.40180410826565399</v>
      </c>
      <c r="L77">
        <v>0.59034542790730105</v>
      </c>
      <c r="M77">
        <v>0.28418798000715201</v>
      </c>
      <c r="N77">
        <v>0.45196131866159001</v>
      </c>
      <c r="O77">
        <v>0.37299880700460802</v>
      </c>
      <c r="P77">
        <v>0.28309820868430502</v>
      </c>
      <c r="Q77">
        <v>9.8320918589753101E-2</v>
      </c>
      <c r="S77" s="2">
        <f t="shared" si="8"/>
        <v>0.36010463265456133</v>
      </c>
      <c r="T77" s="5">
        <f t="shared" si="9"/>
        <v>0.16484759650788319</v>
      </c>
      <c r="U77" s="2" cm="1">
        <f t="array" ref="U77">SUMPRODUCT(B$2:Q$2, B77:Q77, --ISNUMBER(B77:Q77)) /
 SUMPRODUCT(B$2:Q$2, --ISNUMBER(B77:Q77))</f>
        <v>0.35403495117108191</v>
      </c>
      <c r="V77" s="2">
        <f t="shared" si="11"/>
        <v>0.18360191936387751</v>
      </c>
      <c r="W77" s="11">
        <v>15.3819276422181</v>
      </c>
      <c r="X77" s="2">
        <f t="shared" si="12"/>
        <v>0.15381927642218099</v>
      </c>
      <c r="AA77" s="2">
        <f t="shared" si="13"/>
        <v>0.15190649212967447</v>
      </c>
      <c r="AD77" s="2">
        <f t="shared" si="10"/>
        <v>0.18360191936387751</v>
      </c>
    </row>
    <row r="78" spans="1:30" x14ac:dyDescent="0.3">
      <c r="A78" s="2">
        <v>1974</v>
      </c>
      <c r="B78">
        <v>0.496981286032258</v>
      </c>
      <c r="C78">
        <v>0.27976962870069799</v>
      </c>
      <c r="D78">
        <v>0.14163968993548401</v>
      </c>
      <c r="E78">
        <v>0.19697062670967799</v>
      </c>
      <c r="F78">
        <v>0.38470507316128999</v>
      </c>
      <c r="G78">
        <v>0.59110621158064502</v>
      </c>
      <c r="H78">
        <v>0.66511246074193597</v>
      </c>
      <c r="I78" s="2" t="s">
        <v>27</v>
      </c>
      <c r="J78">
        <v>0.37147288159231201</v>
      </c>
      <c r="K78">
        <v>0.33692585970398398</v>
      </c>
      <c r="L78">
        <v>0.48221990189821801</v>
      </c>
      <c r="M78">
        <v>0.31621162553751497</v>
      </c>
      <c r="N78">
        <v>0.49902019782808998</v>
      </c>
      <c r="O78">
        <v>0.29125851428571398</v>
      </c>
      <c r="P78">
        <v>0.330096501747009</v>
      </c>
      <c r="Q78">
        <v>0.130685909247726</v>
      </c>
      <c r="S78" s="2">
        <f t="shared" si="8"/>
        <v>0.3676117579135037</v>
      </c>
      <c r="T78" s="5">
        <f t="shared" si="9"/>
        <v>0.18913125192797647</v>
      </c>
      <c r="U78" s="2" cm="1">
        <f t="array" ref="U78">SUMPRODUCT(B$2:Q$2, B78:Q78, --ISNUMBER(B78:Q78)) /
 SUMPRODUCT(B$2:Q$2, --ISNUMBER(B78:Q78))</f>
        <v>0.33559063862428534</v>
      </c>
      <c r="V78" s="2">
        <f t="shared" si="11"/>
        <v>0.12193929633888044</v>
      </c>
      <c r="W78" s="11">
        <v>17.784712835237301</v>
      </c>
      <c r="X78" s="2">
        <f t="shared" si="12"/>
        <v>0.17784712835237301</v>
      </c>
      <c r="AA78" s="2">
        <f t="shared" si="13"/>
        <v>0.15601187845573633</v>
      </c>
      <c r="AD78" s="2">
        <f t="shared" si="10"/>
        <v>0.12193929633888044</v>
      </c>
    </row>
    <row r="79" spans="1:30" x14ac:dyDescent="0.3">
      <c r="A79" s="2">
        <v>1975</v>
      </c>
      <c r="B79">
        <v>0.53743124106451601</v>
      </c>
      <c r="C79">
        <v>0.31690345573789502</v>
      </c>
      <c r="D79">
        <v>0.12156928816129001</v>
      </c>
      <c r="E79">
        <v>0.21178441025806499</v>
      </c>
      <c r="F79">
        <v>0.42940870516128998</v>
      </c>
      <c r="G79">
        <v>0.499292928032258</v>
      </c>
      <c r="H79">
        <v>0.59065774438709695</v>
      </c>
      <c r="I79" s="2" t="s">
        <v>27</v>
      </c>
      <c r="J79">
        <v>0.375204402251201</v>
      </c>
      <c r="K79">
        <v>0.34539833223529398</v>
      </c>
      <c r="L79">
        <v>0.497890267986491</v>
      </c>
      <c r="M79">
        <v>0.22801535588012301</v>
      </c>
      <c r="N79">
        <v>0.395098506335403</v>
      </c>
      <c r="O79">
        <v>0.29201014916128998</v>
      </c>
      <c r="P79">
        <v>0.31879030860456598</v>
      </c>
      <c r="Q79">
        <v>8.3732153861348302E-2</v>
      </c>
      <c r="S79" s="2">
        <f t="shared" si="8"/>
        <v>0.34954581660787515</v>
      </c>
      <c r="T79" s="5">
        <f t="shared" si="9"/>
        <v>0.13069249163382354</v>
      </c>
      <c r="U79" s="2" cm="1">
        <f t="array" ref="U79">SUMPRODUCT(B$2:Q$2, B79:Q79, --ISNUMBER(B79:Q79)) /
 SUMPRODUCT(B$2:Q$2, --ISNUMBER(B79:Q79))</f>
        <v>0.31520979827014067</v>
      </c>
      <c r="V79" s="2">
        <f t="shared" si="11"/>
        <v>5.3802515827180541E-2</v>
      </c>
      <c r="W79" s="11">
        <v>12.014693282444799</v>
      </c>
      <c r="X79" s="2">
        <f t="shared" si="12"/>
        <v>0.12014693282444799</v>
      </c>
      <c r="AA79" s="2">
        <f t="shared" si="13"/>
        <v>0.14849114885658243</v>
      </c>
      <c r="AD79" s="2">
        <f t="shared" si="10"/>
        <v>5.3802515827180541E-2</v>
      </c>
    </row>
    <row r="80" spans="1:30" x14ac:dyDescent="0.3">
      <c r="A80" s="2">
        <v>1976</v>
      </c>
      <c r="B80">
        <v>0.56230623490322595</v>
      </c>
      <c r="C80">
        <v>0.30340024590618703</v>
      </c>
      <c r="D80">
        <v>0.127609523451613</v>
      </c>
      <c r="E80">
        <v>0.21642176854838699</v>
      </c>
      <c r="F80">
        <v>0.50768941870967699</v>
      </c>
      <c r="G80">
        <v>0.53768193041935497</v>
      </c>
      <c r="H80">
        <v>0.555519307096774</v>
      </c>
      <c r="I80" s="2" t="s">
        <v>27</v>
      </c>
      <c r="J80">
        <v>0.35691995102264901</v>
      </c>
      <c r="K80">
        <v>0.340871942800758</v>
      </c>
      <c r="L80">
        <v>0.55544324889251195</v>
      </c>
      <c r="M80">
        <v>0.23606501541234501</v>
      </c>
      <c r="N80">
        <v>0.42009853589260598</v>
      </c>
      <c r="O80">
        <v>0.39592367070967699</v>
      </c>
      <c r="P80">
        <v>0.32898805143892701</v>
      </c>
      <c r="Q80">
        <v>0.10077281182141699</v>
      </c>
      <c r="S80" s="2">
        <f t="shared" si="8"/>
        <v>0.36971411046840735</v>
      </c>
      <c r="T80" s="5">
        <f t="shared" si="9"/>
        <v>0.19593183181093765</v>
      </c>
      <c r="U80" s="2" cm="1">
        <f t="array" ref="U80">SUMPRODUCT(B$2:Q$2, B80:Q80, --ISNUMBER(B80:Q80)) /
 SUMPRODUCT(B$2:Q$2, --ISNUMBER(B80:Q80))</f>
        <v>0.33802913468419438</v>
      </c>
      <c r="V80" s="2">
        <f t="shared" si="11"/>
        <v>0.130091623128432</v>
      </c>
      <c r="W80" s="11">
        <v>18.467481000273601</v>
      </c>
      <c r="X80" s="2">
        <f t="shared" si="12"/>
        <v>0.184674810002736</v>
      </c>
      <c r="AA80" s="2">
        <f t="shared" si="13"/>
        <v>0.15490616825470505</v>
      </c>
      <c r="AD80" s="2">
        <f t="shared" si="10"/>
        <v>0.130091623128432</v>
      </c>
    </row>
    <row r="81" spans="1:30" x14ac:dyDescent="0.3">
      <c r="A81" s="2">
        <v>1977</v>
      </c>
      <c r="B81">
        <v>0.39884692903225799</v>
      </c>
      <c r="C81">
        <v>0.21478543138560399</v>
      </c>
      <c r="D81">
        <v>4.14406003870968E-2</v>
      </c>
      <c r="E81">
        <v>0.15549203206451601</v>
      </c>
      <c r="F81">
        <v>0.392559938483871</v>
      </c>
      <c r="G81">
        <v>0.36859401829032301</v>
      </c>
      <c r="H81">
        <v>0.37281948732258102</v>
      </c>
      <c r="I81" s="2" t="s">
        <v>27</v>
      </c>
      <c r="J81">
        <v>0.34703142127659498</v>
      </c>
      <c r="K81">
        <v>0.26717303790512298</v>
      </c>
      <c r="L81">
        <v>0.472817682245254</v>
      </c>
      <c r="M81">
        <v>0.162743116629711</v>
      </c>
      <c r="N81">
        <v>0.32745136753356002</v>
      </c>
      <c r="O81">
        <v>0.21759829647926199</v>
      </c>
      <c r="P81">
        <v>0.14565037048205801</v>
      </c>
      <c r="Q81">
        <v>4.5850403432129198E-2</v>
      </c>
      <c r="S81" s="2">
        <f t="shared" si="8"/>
        <v>0.26205694219666287</v>
      </c>
      <c r="T81" s="5">
        <f t="shared" si="9"/>
        <v>-0.15231193496249115</v>
      </c>
      <c r="U81" s="2" cm="1">
        <f t="array" ref="U81">SUMPRODUCT(B$2:Q$2, B81:Q81, --ISNUMBER(B81:Q81)) /
 SUMPRODUCT(B$2:Q$2, --ISNUMBER(B81:Q81))</f>
        <v>0.24589031720444923</v>
      </c>
      <c r="V81" s="2">
        <f t="shared" si="11"/>
        <v>-0.17794485986910366</v>
      </c>
      <c r="W81" s="11">
        <v>-16.031632542066699</v>
      </c>
      <c r="X81" s="2">
        <f t="shared" si="12"/>
        <v>-0.16031632542066698</v>
      </c>
      <c r="AA81" s="2">
        <f t="shared" si="13"/>
        <v>0.13355100417199592</v>
      </c>
      <c r="AD81" s="2">
        <f t="shared" si="10"/>
        <v>-0.17794485986910366</v>
      </c>
    </row>
    <row r="82" spans="1:30" x14ac:dyDescent="0.3">
      <c r="A82" s="2">
        <v>1978</v>
      </c>
      <c r="B82">
        <v>0.33163777283870999</v>
      </c>
      <c r="C82">
        <v>0.19073283887287401</v>
      </c>
      <c r="D82">
        <v>3.0411436838709699E-2</v>
      </c>
      <c r="E82">
        <v>0.16139997990322599</v>
      </c>
      <c r="F82">
        <v>0.30411161674193499</v>
      </c>
      <c r="G82">
        <v>0.35734549435483898</v>
      </c>
      <c r="H82">
        <v>0.52943843151612902</v>
      </c>
      <c r="I82" s="2" t="s">
        <v>27</v>
      </c>
      <c r="J82">
        <v>0.29777534857927201</v>
      </c>
      <c r="K82">
        <v>0.20229478934345299</v>
      </c>
      <c r="L82">
        <v>0.33734024451845801</v>
      </c>
      <c r="M82">
        <v>0.19161689538659599</v>
      </c>
      <c r="N82">
        <v>0.314706254425966</v>
      </c>
      <c r="O82">
        <v>0.225114645235023</v>
      </c>
      <c r="P82">
        <v>0.15939515430228299</v>
      </c>
      <c r="Q82">
        <v>5.0459962707658797E-2</v>
      </c>
      <c r="S82" s="2">
        <f t="shared" si="8"/>
        <v>0.24558539103767549</v>
      </c>
      <c r="T82" s="5">
        <f t="shared" si="9"/>
        <v>-0.2055932455550947</v>
      </c>
      <c r="U82" s="2" cm="1">
        <f t="array" ref="U82">SUMPRODUCT(B$2:Q$2, B82:Q82, --ISNUMBER(B82:Q82)) /
 SUMPRODUCT(B$2:Q$2, --ISNUMBER(B82:Q82))</f>
        <v>0.21804586592460962</v>
      </c>
      <c r="V82" s="2">
        <f t="shared" si="11"/>
        <v>-0.27103382147992017</v>
      </c>
      <c r="W82" s="11">
        <v>-21.296215469652601</v>
      </c>
      <c r="X82" s="2">
        <f t="shared" si="12"/>
        <v>-0.21296215469652602</v>
      </c>
      <c r="AA82" s="2">
        <f t="shared" si="13"/>
        <v>0.12731229086825574</v>
      </c>
      <c r="AD82" s="2">
        <f t="shared" si="10"/>
        <v>-0.27103382147992017</v>
      </c>
    </row>
    <row r="83" spans="1:30" x14ac:dyDescent="0.3">
      <c r="A83" s="2">
        <v>1979</v>
      </c>
      <c r="B83">
        <v>0.39848391664516097</v>
      </c>
      <c r="C83">
        <v>0.239259999205574</v>
      </c>
      <c r="D83">
        <v>4.70603127096774E-2</v>
      </c>
      <c r="E83">
        <v>0.18191677758064501</v>
      </c>
      <c r="F83">
        <v>0.39208046732258101</v>
      </c>
      <c r="G83">
        <v>0.46412577096774199</v>
      </c>
      <c r="H83">
        <v>0.59923624674193499</v>
      </c>
      <c r="I83" s="2" t="s">
        <v>27</v>
      </c>
      <c r="J83">
        <v>0.34740457334248398</v>
      </c>
      <c r="K83">
        <v>0.24744262242125201</v>
      </c>
      <c r="L83">
        <v>0.45501044805403501</v>
      </c>
      <c r="M83">
        <v>0.16991781316930099</v>
      </c>
      <c r="N83">
        <v>0.34313766058905998</v>
      </c>
      <c r="O83">
        <v>0.30497585076497702</v>
      </c>
      <c r="P83">
        <v>0.22767569328017301</v>
      </c>
      <c r="Q83">
        <v>7.31890129651903E-2</v>
      </c>
      <c r="S83" s="2">
        <f t="shared" si="8"/>
        <v>0.29939447771731914</v>
      </c>
      <c r="T83" s="5">
        <f t="shared" si="9"/>
        <v>-3.1534431518136979E-2</v>
      </c>
      <c r="U83" s="2" cm="1">
        <f t="array" ref="U83">SUMPRODUCT(B$2:Q$2, B83:Q83, --ISNUMBER(B83:Q83)) /
 SUMPRODUCT(B$2:Q$2, --ISNUMBER(B83:Q83))</f>
        <v>0.26942939555898582</v>
      </c>
      <c r="V83" s="2">
        <f t="shared" si="11"/>
        <v>-9.9249527026039647E-2</v>
      </c>
      <c r="W83" s="11">
        <v>-4.0687345363791199</v>
      </c>
      <c r="X83" s="2">
        <f t="shared" si="12"/>
        <v>-4.0687345363791198E-2</v>
      </c>
      <c r="AA83" s="2">
        <f t="shared" si="13"/>
        <v>0.15137045543584457</v>
      </c>
      <c r="AD83" s="2">
        <f t="shared" si="10"/>
        <v>-9.9249527026039647E-2</v>
      </c>
    </row>
    <row r="84" spans="1:30" x14ac:dyDescent="0.3">
      <c r="A84" s="2">
        <v>1980</v>
      </c>
      <c r="B84">
        <v>0.35798210274193598</v>
      </c>
      <c r="C84">
        <v>0.186935061107706</v>
      </c>
      <c r="D84">
        <v>6.65955032903226E-2</v>
      </c>
      <c r="E84">
        <v>0.18285361770967701</v>
      </c>
      <c r="F84">
        <v>0.410272166193548</v>
      </c>
      <c r="G84">
        <v>0.42923796477419401</v>
      </c>
      <c r="H84">
        <v>0.52416878</v>
      </c>
      <c r="I84" s="2" t="s">
        <v>27</v>
      </c>
      <c r="J84">
        <v>0.37874934687714401</v>
      </c>
      <c r="K84">
        <v>0.33286371533965797</v>
      </c>
      <c r="L84">
        <v>0.45529536380109398</v>
      </c>
      <c r="M84">
        <v>0.16991781316930099</v>
      </c>
      <c r="N84">
        <v>0.84951080828691605</v>
      </c>
      <c r="O84">
        <v>0.265327111078341</v>
      </c>
      <c r="P84">
        <v>0.337190583718738</v>
      </c>
      <c r="Q84">
        <v>7.1153941582908595E-2</v>
      </c>
      <c r="S84" s="2">
        <f t="shared" si="8"/>
        <v>0.33453692531143225</v>
      </c>
      <c r="T84" s="5">
        <f t="shared" si="9"/>
        <v>8.2142516522338005E-2</v>
      </c>
      <c r="U84" s="2" cm="1">
        <f t="array" ref="U84">SUMPRODUCT(B$2:Q$2, B84:Q84, --ISNUMBER(B84:Q84)) /
 SUMPRODUCT(B$2:Q$2, --ISNUMBER(B84:Q84))</f>
        <v>0.30839358680518031</v>
      </c>
      <c r="V84" s="2">
        <f t="shared" si="11"/>
        <v>3.101470647098347E-2</v>
      </c>
      <c r="W84" s="11">
        <v>7.0905860149779301</v>
      </c>
      <c r="X84" s="2">
        <f t="shared" si="12"/>
        <v>7.0905860149779301E-2</v>
      </c>
      <c r="AA84" s="2">
        <f t="shared" si="13"/>
        <v>0.1983514375610046</v>
      </c>
      <c r="AD84" s="2">
        <f t="shared" si="10"/>
        <v>3.101470647098347E-2</v>
      </c>
    </row>
    <row r="85" spans="1:30" x14ac:dyDescent="0.3">
      <c r="A85" s="2">
        <v>1981</v>
      </c>
      <c r="B85">
        <v>0.34939080870967798</v>
      </c>
      <c r="C85">
        <v>0.215629382000085</v>
      </c>
      <c r="D85">
        <v>7.5808773161290394E-2</v>
      </c>
      <c r="E85">
        <v>0.16086715200000001</v>
      </c>
      <c r="F85">
        <v>0.40732482890322602</v>
      </c>
      <c r="G85">
        <v>0.42005042861290298</v>
      </c>
      <c r="H85">
        <v>0.52582877603225797</v>
      </c>
      <c r="I85" s="2" t="s">
        <v>27</v>
      </c>
      <c r="J85">
        <v>0.33732946756348597</v>
      </c>
      <c r="K85">
        <v>0.26810152804553999</v>
      </c>
      <c r="L85">
        <v>0.46868640391289101</v>
      </c>
      <c r="M85">
        <v>0.204391355079035</v>
      </c>
      <c r="N85">
        <v>0.38872594978160602</v>
      </c>
      <c r="O85">
        <v>0.28768824862672798</v>
      </c>
      <c r="P85">
        <v>0.22213344173975999</v>
      </c>
      <c r="Q85">
        <v>6.4570608255889006E-2</v>
      </c>
      <c r="S85" s="2">
        <f t="shared" si="8"/>
        <v>0.29310181016162501</v>
      </c>
      <c r="T85" s="5">
        <f t="shared" si="9"/>
        <v>-5.1889622796403363E-2</v>
      </c>
      <c r="U85" s="2" cm="1">
        <f t="array" ref="U85">SUMPRODUCT(B$2:Q$2, B85:Q85, --ISNUMBER(B85:Q85)) /
 SUMPRODUCT(B$2:Q$2, --ISNUMBER(B85:Q85))</f>
        <v>0.27212631914197827</v>
      </c>
      <c r="V85" s="2">
        <f t="shared" si="11"/>
        <v>-9.0233230983378473E-2</v>
      </c>
      <c r="W85" s="11">
        <v>-6.0856752897926798</v>
      </c>
      <c r="X85" s="2">
        <f t="shared" si="12"/>
        <v>-6.0856752897926795E-2</v>
      </c>
      <c r="AA85" s="2">
        <f t="shared" si="13"/>
        <v>0.13755889234579141</v>
      </c>
      <c r="AD85" s="2">
        <f t="shared" si="10"/>
        <v>-9.0233230983378473E-2</v>
      </c>
    </row>
    <row r="86" spans="1:30" x14ac:dyDescent="0.3">
      <c r="A86" s="2">
        <v>1982</v>
      </c>
      <c r="B86">
        <v>0.40225233132258098</v>
      </c>
      <c r="C86">
        <v>0.19706246848148701</v>
      </c>
      <c r="D86">
        <v>8.95331052258065E-2</v>
      </c>
      <c r="E86">
        <v>0.23000009461290299</v>
      </c>
      <c r="F86">
        <v>0.38670757025806402</v>
      </c>
      <c r="G86">
        <v>0.58013703854838705</v>
      </c>
      <c r="H86">
        <v>0.665881183806452</v>
      </c>
      <c r="I86" s="2" t="s">
        <v>27</v>
      </c>
      <c r="J86">
        <v>0.30691757419354798</v>
      </c>
      <c r="K86">
        <v>0.21564183511195401</v>
      </c>
      <c r="L86">
        <v>0.401018913986258</v>
      </c>
      <c r="M86">
        <v>0.21471591839210299</v>
      </c>
      <c r="N86">
        <v>0.38823575312362202</v>
      </c>
      <c r="O86">
        <v>0.35326839152073702</v>
      </c>
      <c r="P86">
        <v>0.23920357648423299</v>
      </c>
      <c r="Q86">
        <v>7.8583178074852503E-2</v>
      </c>
      <c r="S86" s="2">
        <f t="shared" si="8"/>
        <v>0.3166105955428658</v>
      </c>
      <c r="T86" s="5">
        <f t="shared" si="9"/>
        <v>2.4155364312737435E-2</v>
      </c>
      <c r="U86" s="2" cm="1">
        <f t="array" ref="U86">SUMPRODUCT(B$2:Q$2, B86:Q86, --ISNUMBER(B86:Q86)) /
 SUMPRODUCT(B$2:Q$2, --ISNUMBER(B86:Q86))</f>
        <v>0.27273483282009808</v>
      </c>
      <c r="V86" s="2">
        <f t="shared" si="11"/>
        <v>-8.8198861339931198E-2</v>
      </c>
      <c r="W86" s="11">
        <v>1.45707200102717</v>
      </c>
      <c r="X86" s="2">
        <f t="shared" si="12"/>
        <v>1.4570720010271701E-2</v>
      </c>
      <c r="AA86" s="2">
        <f t="shared" si="13"/>
        <v>0.16343638624750878</v>
      </c>
      <c r="AD86" s="2">
        <f t="shared" si="10"/>
        <v>-8.8198861339931198E-2</v>
      </c>
    </row>
    <row r="87" spans="1:30" x14ac:dyDescent="0.3">
      <c r="A87" s="2">
        <v>1983</v>
      </c>
      <c r="B87">
        <v>0.63305908367742003</v>
      </c>
      <c r="C87">
        <v>0.405940245565719</v>
      </c>
      <c r="D87">
        <v>0.33018677474193597</v>
      </c>
      <c r="E87">
        <v>0.34681819722580698</v>
      </c>
      <c r="F87">
        <v>0.57262955283870998</v>
      </c>
      <c r="G87">
        <v>0.87143159716129004</v>
      </c>
      <c r="H87">
        <v>0.91426782225806502</v>
      </c>
      <c r="I87" s="2" t="s">
        <v>27</v>
      </c>
      <c r="J87">
        <v>0.49162784680851002</v>
      </c>
      <c r="K87">
        <v>0.38160944771157401</v>
      </c>
      <c r="L87">
        <v>0.63393753720740598</v>
      </c>
      <c r="M87">
        <v>0.28173808362778002</v>
      </c>
      <c r="N87">
        <v>0.53431435720296505</v>
      </c>
      <c r="O87">
        <v>0.415841994912442</v>
      </c>
      <c r="P87">
        <v>0.63159498554548699</v>
      </c>
      <c r="Q87">
        <v>0.13178926120197501</v>
      </c>
      <c r="S87" s="2">
        <f t="shared" si="8"/>
        <v>0.50511911917913899</v>
      </c>
      <c r="T87" s="5">
        <f t="shared" si="9"/>
        <v>0.63393285887111217</v>
      </c>
      <c r="U87" s="2" cm="1">
        <f t="array" ref="U87">SUMPRODUCT(B$2:Q$2, B87:Q87, --ISNUMBER(B87:Q87)) /
 SUMPRODUCT(B$2:Q$2, --ISNUMBER(B87:Q87))</f>
        <v>0.4352668523541357</v>
      </c>
      <c r="V87" s="2">
        <f t="shared" si="11"/>
        <v>0.45517463792119905</v>
      </c>
      <c r="W87" s="11">
        <v>61.866105373942297</v>
      </c>
      <c r="X87" s="2">
        <f t="shared" si="12"/>
        <v>0.61866105373942293</v>
      </c>
      <c r="AA87" s="2">
        <f t="shared" si="13"/>
        <v>0.21282701923537228</v>
      </c>
      <c r="AD87" s="2">
        <f t="shared" si="10"/>
        <v>0.45517463792119905</v>
      </c>
    </row>
    <row r="88" spans="1:30" x14ac:dyDescent="0.3">
      <c r="A88" s="2">
        <v>1984</v>
      </c>
      <c r="B88">
        <v>0.52382691861290298</v>
      </c>
      <c r="C88">
        <v>0.40944264061581798</v>
      </c>
      <c r="D88">
        <v>0.21345349738709701</v>
      </c>
      <c r="E88">
        <v>0.38820896293548401</v>
      </c>
      <c r="F88">
        <v>0.64972569048387097</v>
      </c>
      <c r="G88">
        <v>0.74772887206451599</v>
      </c>
      <c r="H88">
        <v>0.73307202554838702</v>
      </c>
      <c r="I88" s="2" t="s">
        <v>27</v>
      </c>
      <c r="J88">
        <v>0.46550720219629299</v>
      </c>
      <c r="K88">
        <v>0.53086423778368097</v>
      </c>
      <c r="L88">
        <v>0.71257428339582995</v>
      </c>
      <c r="M88">
        <v>0.39287588295200598</v>
      </c>
      <c r="N88">
        <v>0.76715776974554195</v>
      </c>
      <c r="O88">
        <v>0.531217948313364</v>
      </c>
      <c r="P88">
        <v>0.61940203215657796</v>
      </c>
      <c r="Q88">
        <v>0.18940875214609501</v>
      </c>
      <c r="S88" s="2">
        <f t="shared" si="8"/>
        <v>0.52496444775583095</v>
      </c>
      <c r="T88" s="5">
        <f t="shared" si="9"/>
        <v>0.69812748787118994</v>
      </c>
      <c r="U88" s="2" cm="1">
        <f t="array" ref="U88">SUMPRODUCT(B$2:Q$2, B88:Q88, --ISNUMBER(B88:Q88)) /
 SUMPRODUCT(B$2:Q$2, --ISNUMBER(B88:Q88))</f>
        <v>0.50051340250243925</v>
      </c>
      <c r="V88" s="2">
        <f t="shared" si="11"/>
        <v>0.67330547989585288</v>
      </c>
      <c r="W88" s="11">
        <v>68.176062056592798</v>
      </c>
      <c r="X88" s="2">
        <f t="shared" si="12"/>
        <v>0.68176062056592801</v>
      </c>
      <c r="AA88" s="2">
        <f t="shared" si="13"/>
        <v>0.18400571453213704</v>
      </c>
      <c r="AD88" s="2">
        <f t="shared" si="10"/>
        <v>0.67330547989585288</v>
      </c>
    </row>
    <row r="89" spans="1:30" x14ac:dyDescent="0.3">
      <c r="A89" s="2">
        <v>1985</v>
      </c>
      <c r="B89">
        <v>0.59549594148387097</v>
      </c>
      <c r="C89">
        <v>0.42665923315124599</v>
      </c>
      <c r="D89">
        <v>0.19586800287096801</v>
      </c>
      <c r="E89">
        <v>0.29493482251612901</v>
      </c>
      <c r="F89">
        <v>0.65007824280645199</v>
      </c>
      <c r="G89">
        <v>0.70438604941935501</v>
      </c>
      <c r="H89">
        <v>0.66081206883871002</v>
      </c>
      <c r="I89" s="2" t="s">
        <v>27</v>
      </c>
      <c r="J89">
        <v>0.31848528823610101</v>
      </c>
      <c r="K89">
        <v>0.50904471948386998</v>
      </c>
      <c r="L89">
        <v>0.71756030896937195</v>
      </c>
      <c r="M89">
        <v>0.326536188850582</v>
      </c>
      <c r="N89">
        <v>0.60451051862632699</v>
      </c>
      <c r="O89">
        <v>0.39047431786175102</v>
      </c>
      <c r="P89">
        <v>0.40454002443783899</v>
      </c>
      <c r="Q89">
        <v>0.163148975634966</v>
      </c>
      <c r="S89" s="2">
        <f t="shared" si="8"/>
        <v>0.46416898021250258</v>
      </c>
      <c r="T89" s="5">
        <f t="shared" si="9"/>
        <v>0.50146949509731642</v>
      </c>
      <c r="U89" s="2" cm="1">
        <f t="array" ref="U89">SUMPRODUCT(B$2:Q$2, B89:Q89, --ISNUMBER(B89:Q89)) /
 SUMPRODUCT(B$2:Q$2, --ISNUMBER(B89:Q89))</f>
        <v>0.42816262027133151</v>
      </c>
      <c r="V89" s="2">
        <f t="shared" si="11"/>
        <v>0.43142392432357413</v>
      </c>
      <c r="W89" s="11">
        <v>48.6945679819015</v>
      </c>
      <c r="X89" s="2">
        <f t="shared" si="12"/>
        <v>0.48694567981901499</v>
      </c>
      <c r="AA89" s="2">
        <f t="shared" si="13"/>
        <v>0.18437097541026665</v>
      </c>
      <c r="AD89" s="2">
        <f t="shared" si="10"/>
        <v>0.43142392432357413</v>
      </c>
    </row>
    <row r="90" spans="1:30" x14ac:dyDescent="0.3">
      <c r="A90" s="2">
        <v>1986</v>
      </c>
      <c r="B90">
        <v>0.708911392516129</v>
      </c>
      <c r="C90">
        <v>0.34011209763614297</v>
      </c>
      <c r="D90">
        <v>0.24715265712903201</v>
      </c>
      <c r="E90">
        <v>0.31003551354838699</v>
      </c>
      <c r="F90">
        <v>0.66956733409677405</v>
      </c>
      <c r="G90">
        <v>0.641329753903226</v>
      </c>
      <c r="H90">
        <v>0.74052529587096805</v>
      </c>
      <c r="I90" s="2" t="s">
        <v>27</v>
      </c>
      <c r="J90">
        <v>0.36326353614275902</v>
      </c>
      <c r="K90">
        <v>0.38393067306261802</v>
      </c>
      <c r="L90">
        <v>0.54133991941306603</v>
      </c>
      <c r="M90">
        <v>0.25422924713940298</v>
      </c>
      <c r="N90">
        <v>0.65941254432057606</v>
      </c>
      <c r="O90">
        <v>0.46638944029493001</v>
      </c>
      <c r="P90">
        <v>0.45832203338600902</v>
      </c>
      <c r="Q90">
        <v>0.13865456225063599</v>
      </c>
      <c r="S90" s="2">
        <f t="shared" si="8"/>
        <v>0.46154506671404383</v>
      </c>
      <c r="T90" s="5">
        <f t="shared" si="9"/>
        <v>0.49298179720353169</v>
      </c>
      <c r="U90" s="2" cm="1">
        <f t="array" ref="U90">SUMPRODUCT(B$2:Q$2, B90:Q90, --ISNUMBER(B90:Q90)) /
 SUMPRODUCT(B$2:Q$2, --ISNUMBER(B90:Q90))</f>
        <v>0.39337384686997201</v>
      </c>
      <c r="V90" s="2">
        <f t="shared" si="11"/>
        <v>0.31511885660649891</v>
      </c>
      <c r="W90" s="11">
        <v>47.860239339051802</v>
      </c>
      <c r="X90" s="2">
        <f t="shared" si="12"/>
        <v>0.47860239339051802</v>
      </c>
      <c r="AA90" s="2">
        <f t="shared" si="13"/>
        <v>0.19025454269514497</v>
      </c>
      <c r="AD90" s="2">
        <f t="shared" si="10"/>
        <v>0.31511885660649891</v>
      </c>
    </row>
    <row r="91" spans="1:30" x14ac:dyDescent="0.3">
      <c r="A91" s="2">
        <v>1987</v>
      </c>
      <c r="B91">
        <v>0.527750910096774</v>
      </c>
      <c r="C91">
        <v>0.32323308534650802</v>
      </c>
      <c r="D91">
        <v>0.13074432932258101</v>
      </c>
      <c r="E91">
        <v>0.23988961277419399</v>
      </c>
      <c r="F91">
        <v>0.58382661393548396</v>
      </c>
      <c r="G91">
        <v>0.539513229806452</v>
      </c>
      <c r="H91">
        <v>0.41516609477419297</v>
      </c>
      <c r="I91">
        <v>0.43738264553558198</v>
      </c>
      <c r="J91">
        <v>0.408788088181194</v>
      </c>
      <c r="K91">
        <v>0.43511369205313</v>
      </c>
      <c r="L91">
        <v>0.66014978593688101</v>
      </c>
      <c r="M91">
        <v>0.33056101861669401</v>
      </c>
      <c r="N91">
        <v>0.551471240232418</v>
      </c>
      <c r="O91">
        <v>0.40569492409216501</v>
      </c>
      <c r="P91">
        <v>0.369557332714751</v>
      </c>
      <c r="Q91">
        <v>0.10052762249825101</v>
      </c>
      <c r="S91" s="2">
        <f t="shared" si="8"/>
        <v>0.40371063911982824</v>
      </c>
      <c r="T91" s="5">
        <f t="shared" si="9"/>
        <v>0.30590202130085448</v>
      </c>
      <c r="U91" s="2" cm="1">
        <f t="array" ref="U91">SUMPRODUCT(B$2:Q$2, B91:Q91, --ISNUMBER(B91:Q91)) /
 SUMPRODUCT(B$2:Q$2, --ISNUMBER(B91:Q91))</f>
        <v>0.39261705345076259</v>
      </c>
      <c r="V91" s="2">
        <f t="shared" si="11"/>
        <v>0.31258876136992614</v>
      </c>
      <c r="W91" s="11">
        <v>29.335997076017499</v>
      </c>
      <c r="X91" s="2">
        <f t="shared" si="12"/>
        <v>0.293359970760175</v>
      </c>
      <c r="AA91" s="2">
        <f t="shared" si="13"/>
        <v>0.15543638735307269</v>
      </c>
      <c r="AD91" s="2">
        <f t="shared" si="10"/>
        <v>0.31258876136992614</v>
      </c>
    </row>
    <row r="92" spans="1:30" x14ac:dyDescent="0.3">
      <c r="A92" s="2">
        <v>1988</v>
      </c>
      <c r="B92">
        <v>0.447974609516129</v>
      </c>
      <c r="C92">
        <v>0.195374567252524</v>
      </c>
      <c r="D92">
        <v>8.8596486548387102E-2</v>
      </c>
      <c r="E92">
        <v>0.16202649170967701</v>
      </c>
      <c r="F92">
        <v>0.44296081570967699</v>
      </c>
      <c r="G92">
        <v>0.40025997906451599</v>
      </c>
      <c r="H92">
        <v>0.41726058616129003</v>
      </c>
      <c r="I92">
        <v>0.17362765625806401</v>
      </c>
      <c r="J92">
        <v>0.231914008949897</v>
      </c>
      <c r="K92">
        <v>0.280984328743833</v>
      </c>
      <c r="L92">
        <v>0.42366971587748897</v>
      </c>
      <c r="M92">
        <v>0.25146436408268302</v>
      </c>
      <c r="N92">
        <v>0.33823569400921599</v>
      </c>
      <c r="O92">
        <v>0.31700200877419299</v>
      </c>
      <c r="P92">
        <v>0.236764985806451</v>
      </c>
      <c r="Q92">
        <v>6.8775605148193905E-2</v>
      </c>
      <c r="S92" s="2">
        <f t="shared" si="8"/>
        <v>0.2798057439757638</v>
      </c>
      <c r="T92" s="5">
        <f t="shared" si="9"/>
        <v>-9.4899040990884864E-2</v>
      </c>
      <c r="U92" s="2" cm="1">
        <f t="array" ref="U92">SUMPRODUCT(B$2:Q$2, B92:Q92, --ISNUMBER(B92:Q92)) /
 SUMPRODUCT(B$2:Q$2, --ISNUMBER(B92:Q92))</f>
        <v>0.26201234484257163</v>
      </c>
      <c r="V92" s="2">
        <f t="shared" si="11"/>
        <v>-0.12404604905000451</v>
      </c>
      <c r="W92" s="11">
        <v>-10.331458358131099</v>
      </c>
      <c r="X92" s="2">
        <f t="shared" si="12"/>
        <v>-0.103314583581311</v>
      </c>
      <c r="AA92" s="2">
        <f t="shared" si="13"/>
        <v>0.12439659013812993</v>
      </c>
      <c r="AD92" s="2">
        <f t="shared" si="10"/>
        <v>-0.12404604905000451</v>
      </c>
    </row>
    <row r="93" spans="1:30" x14ac:dyDescent="0.3">
      <c r="A93" s="2">
        <v>1989</v>
      </c>
      <c r="B93">
        <v>0.35385067561290301</v>
      </c>
      <c r="C93">
        <v>0.15486493775740001</v>
      </c>
      <c r="D93">
        <v>5.07876731290322E-2</v>
      </c>
      <c r="E93">
        <v>0.33263092522580601</v>
      </c>
      <c r="F93">
        <v>0.17674152054838699</v>
      </c>
      <c r="G93">
        <v>0.35260894700000001</v>
      </c>
      <c r="H93">
        <v>0.34404251090322602</v>
      </c>
      <c r="I93">
        <v>0.117177582033981</v>
      </c>
      <c r="J93">
        <v>0.33154561054220999</v>
      </c>
      <c r="K93">
        <v>0.193590194277039</v>
      </c>
      <c r="L93">
        <v>0.37494912313031298</v>
      </c>
      <c r="M93">
        <v>0.24673956392246599</v>
      </c>
      <c r="N93">
        <v>0.28921602821077902</v>
      </c>
      <c r="O93">
        <v>0.228684910894009</v>
      </c>
      <c r="P93">
        <v>0.272678775788329</v>
      </c>
      <c r="Q93">
        <v>6.6446306578112402E-2</v>
      </c>
      <c r="S93" s="2">
        <f t="shared" si="8"/>
        <v>0.24290970534712455</v>
      </c>
      <c r="T93" s="5">
        <f t="shared" si="9"/>
        <v>-0.21424841342303663</v>
      </c>
      <c r="U93" s="2" cm="1">
        <f t="array" ref="U93">SUMPRODUCT(B$2:Q$2, B93:Q93, --ISNUMBER(B93:Q93)) /
 SUMPRODUCT(B$2:Q$2, --ISNUMBER(B93:Q93))</f>
        <v>0.23939125573563899</v>
      </c>
      <c r="V93" s="2">
        <f t="shared" si="11"/>
        <v>-0.19967238028228015</v>
      </c>
      <c r="W93" s="11">
        <v>-22.1556505309435</v>
      </c>
      <c r="X93" s="2">
        <f t="shared" si="12"/>
        <v>-0.22155650530943499</v>
      </c>
      <c r="AA93" s="2">
        <f t="shared" si="13"/>
        <v>0.10632625217898324</v>
      </c>
      <c r="AD93" s="2">
        <f t="shared" si="10"/>
        <v>-0.19967238028228015</v>
      </c>
    </row>
    <row r="94" spans="1:30" x14ac:dyDescent="0.3">
      <c r="A94" s="2">
        <v>1990</v>
      </c>
      <c r="B94">
        <v>0.35748079980645198</v>
      </c>
      <c r="C94">
        <v>0.17638567842668401</v>
      </c>
      <c r="D94">
        <v>3.7904386483870997E-2</v>
      </c>
      <c r="E94">
        <v>0.148711652032258</v>
      </c>
      <c r="F94">
        <v>0.328085173354839</v>
      </c>
      <c r="G94">
        <v>0.36644612148387101</v>
      </c>
      <c r="H94">
        <v>0.44982547270967799</v>
      </c>
      <c r="I94">
        <v>0.11579193453435099</v>
      </c>
      <c r="J94">
        <v>0.36643532870281398</v>
      </c>
      <c r="K94">
        <v>0.21865942806831101</v>
      </c>
      <c r="L94">
        <v>0.431219983174566</v>
      </c>
      <c r="M94">
        <v>0.218915740756741</v>
      </c>
      <c r="N94">
        <v>0.32451018758565398</v>
      </c>
      <c r="O94">
        <v>0.244093425843318</v>
      </c>
      <c r="P94">
        <v>0.214374289583182</v>
      </c>
      <c r="Q94">
        <v>6.6936685224445305E-2</v>
      </c>
      <c r="S94" s="2">
        <f t="shared" si="8"/>
        <v>0.25411101798568969</v>
      </c>
      <c r="T94" s="5">
        <f t="shared" si="9"/>
        <v>-0.17801499423988937</v>
      </c>
      <c r="U94" s="2" cm="1">
        <f t="array" ref="U94">SUMPRODUCT(B$2:Q$2, B94:Q94, --ISNUMBER(B94:Q94)) /
 SUMPRODUCT(B$2:Q$2, --ISNUMBER(B94:Q94))</f>
        <v>0.24749783350158688</v>
      </c>
      <c r="V94" s="2">
        <f t="shared" si="11"/>
        <v>-0.17257064648026396</v>
      </c>
      <c r="W94" s="11">
        <v>-18.5801920823945</v>
      </c>
      <c r="X94" s="2">
        <f t="shared" si="12"/>
        <v>-0.185801920823945</v>
      </c>
      <c r="AA94" s="2">
        <f t="shared" si="13"/>
        <v>0.12603122221204502</v>
      </c>
      <c r="AD94" s="2">
        <f t="shared" si="10"/>
        <v>-0.17257064648026396</v>
      </c>
    </row>
    <row r="95" spans="1:30" x14ac:dyDescent="0.3">
      <c r="A95" s="2">
        <v>1991</v>
      </c>
      <c r="B95">
        <v>0.34589897503225803</v>
      </c>
      <c r="C95">
        <v>0.121908666261888</v>
      </c>
      <c r="D95">
        <v>3.8707202806451603E-2</v>
      </c>
      <c r="E95">
        <v>0.110634958193548</v>
      </c>
      <c r="F95">
        <v>0.197626718935484</v>
      </c>
      <c r="G95">
        <v>0.35309936277419401</v>
      </c>
      <c r="H95">
        <v>0.407757388</v>
      </c>
      <c r="I95">
        <v>4.0545250750061497E-2</v>
      </c>
      <c r="J95">
        <v>0.27146812793411101</v>
      </c>
      <c r="K95">
        <v>0.15424542457685</v>
      </c>
      <c r="L95">
        <v>0.32024529969488702</v>
      </c>
      <c r="M95">
        <v>0.160643205447392</v>
      </c>
      <c r="N95">
        <v>0.21470613619715401</v>
      </c>
      <c r="O95">
        <v>0.23319472014746501</v>
      </c>
      <c r="P95">
        <v>0.22390696223269299</v>
      </c>
      <c r="Q95">
        <v>5.3696461773456203E-2</v>
      </c>
      <c r="S95" s="2">
        <f t="shared" si="8"/>
        <v>0.20301780379736833</v>
      </c>
      <c r="T95" s="5">
        <f t="shared" si="9"/>
        <v>-0.34328864625152711</v>
      </c>
      <c r="U95" s="2" cm="1">
        <f t="array" ref="U95">SUMPRODUCT(B$2:Q$2, B95:Q95, --ISNUMBER(B95:Q95)) /
 SUMPRODUCT(B$2:Q$2, --ISNUMBER(B95:Q95))</f>
        <v>0.19482064086747225</v>
      </c>
      <c r="V95" s="2">
        <f t="shared" si="11"/>
        <v>-0.34867988683125317</v>
      </c>
      <c r="W95" s="11">
        <v>-34.941226611893697</v>
      </c>
      <c r="X95" s="2">
        <f t="shared" si="12"/>
        <v>-0.34941226611893694</v>
      </c>
      <c r="AA95" s="2">
        <f t="shared" si="13"/>
        <v>0.11540595558484387</v>
      </c>
      <c r="AD95" s="2">
        <f t="shared" si="10"/>
        <v>-0.34867988683125317</v>
      </c>
    </row>
    <row r="96" spans="1:30" x14ac:dyDescent="0.3">
      <c r="A96" s="2">
        <v>1992</v>
      </c>
      <c r="B96">
        <v>0.45722278312903197</v>
      </c>
      <c r="C96">
        <v>0.165414320438422</v>
      </c>
      <c r="D96">
        <v>4.3944621774193601E-2</v>
      </c>
      <c r="E96">
        <v>0.15679775290322601</v>
      </c>
      <c r="F96">
        <v>0.25437353770967702</v>
      </c>
      <c r="G96">
        <v>0.414370296451613</v>
      </c>
      <c r="H96">
        <v>0.54046682061290297</v>
      </c>
      <c r="I96">
        <v>6.9402866068455998E-2</v>
      </c>
      <c r="J96">
        <v>0.36009174358270402</v>
      </c>
      <c r="K96">
        <v>0.187438947096774</v>
      </c>
      <c r="L96">
        <v>0.38919491048328803</v>
      </c>
      <c r="M96">
        <v>0.22416551871253801</v>
      </c>
      <c r="N96">
        <v>0.28284347165698198</v>
      </c>
      <c r="O96">
        <v>0.263072206451612</v>
      </c>
      <c r="P96">
        <v>0.19974274551649099</v>
      </c>
      <c r="Q96">
        <v>7.26986343188573E-2</v>
      </c>
      <c r="S96" s="2">
        <f t="shared" si="8"/>
        <v>0.25507757355667304</v>
      </c>
      <c r="T96" s="5">
        <f t="shared" si="9"/>
        <v>-0.17488843092563372</v>
      </c>
      <c r="U96" s="2" cm="1">
        <f t="array" ref="U96">SUMPRODUCT(B$2:Q$2, B96:Q96, --ISNUMBER(B96:Q96)) /
 SUMPRODUCT(B$2:Q$2, --ISNUMBER(B96:Q96))</f>
        <v>0.23894305554047868</v>
      </c>
      <c r="V96" s="2">
        <f t="shared" si="11"/>
        <v>-0.20117079338950655</v>
      </c>
      <c r="W96" s="11">
        <v>-18.2569906566752</v>
      </c>
      <c r="X96" s="2">
        <f t="shared" si="12"/>
        <v>-0.18256990656675198</v>
      </c>
      <c r="AA96" s="2">
        <f t="shared" si="13"/>
        <v>0.1451757262946238</v>
      </c>
      <c r="AD96" s="2">
        <f t="shared" si="10"/>
        <v>-0.20117079338950655</v>
      </c>
    </row>
    <row r="97" spans="1:30" x14ac:dyDescent="0.3">
      <c r="A97" s="2">
        <v>1993</v>
      </c>
      <c r="B97">
        <v>0.300677999451613</v>
      </c>
      <c r="C97">
        <v>0.13625582670807701</v>
      </c>
      <c r="D97">
        <v>4.9086467612903202E-2</v>
      </c>
      <c r="E97">
        <v>0.131339123903226</v>
      </c>
      <c r="F97">
        <v>0.240081067387097</v>
      </c>
      <c r="G97">
        <v>0.378687892516129</v>
      </c>
      <c r="H97">
        <v>0.46428637687096802</v>
      </c>
      <c r="I97">
        <v>5.2232886181728597E-2</v>
      </c>
      <c r="J97">
        <v>0.299081380809883</v>
      </c>
      <c r="K97">
        <v>0.16283395837571099</v>
      </c>
      <c r="L97">
        <v>0.27864760062419902</v>
      </c>
      <c r="M97">
        <v>0.16256812403118501</v>
      </c>
      <c r="N97" s="2" t="s">
        <v>27</v>
      </c>
      <c r="O97">
        <v>0.22755745858064499</v>
      </c>
      <c r="P97">
        <v>0.18089909027908599</v>
      </c>
      <c r="Q97">
        <v>5.9090626883118398E-2</v>
      </c>
      <c r="S97" s="2">
        <f t="shared" si="8"/>
        <v>0.20822172534770464</v>
      </c>
      <c r="T97" s="5">
        <f t="shared" si="9"/>
        <v>-0.32645527350194709</v>
      </c>
      <c r="U97" s="2" cm="1">
        <f t="array" ref="U97">SUMPRODUCT(B$2:Q$2, B97:Q97, --ISNUMBER(B97:Q97)) /
 SUMPRODUCT(B$2:Q$2, --ISNUMBER(B97:Q97))</f>
        <v>0.19257022192907117</v>
      </c>
      <c r="V97" s="2">
        <f t="shared" si="11"/>
        <v>-0.35620343829433232</v>
      </c>
      <c r="W97" s="11">
        <v>-33.233225258365202</v>
      </c>
      <c r="X97" s="2">
        <f t="shared" si="12"/>
        <v>-0.33233225258365201</v>
      </c>
      <c r="AA97" s="2">
        <f t="shared" si="13"/>
        <v>0.12120161375480758</v>
      </c>
      <c r="AD97" s="2">
        <f t="shared" si="10"/>
        <v>-0.35620343829433232</v>
      </c>
    </row>
    <row r="98" spans="1:30" x14ac:dyDescent="0.3">
      <c r="A98" s="2">
        <v>1994</v>
      </c>
      <c r="B98">
        <v>0.36059233490322601</v>
      </c>
      <c r="C98">
        <v>0.19284271540907799</v>
      </c>
      <c r="D98">
        <v>0.14305417512903201</v>
      </c>
      <c r="E98">
        <v>0.19467536845161301</v>
      </c>
      <c r="F98">
        <v>0.41926930093548398</v>
      </c>
      <c r="G98">
        <v>0.48138344035483899</v>
      </c>
      <c r="H98">
        <v>0.49231691190322602</v>
      </c>
      <c r="I98">
        <v>0.126334904640236</v>
      </c>
      <c r="J98">
        <v>0.32109735269732298</v>
      </c>
      <c r="K98">
        <v>0.24419290692979101</v>
      </c>
      <c r="L98">
        <v>0.44361381817165402</v>
      </c>
      <c r="M98">
        <v>0.247089549119519</v>
      </c>
      <c r="N98" s="2" t="s">
        <v>27</v>
      </c>
      <c r="O98">
        <v>0.291634331723502</v>
      </c>
      <c r="P98">
        <v>0.22302020198622599</v>
      </c>
      <c r="Q98">
        <v>8.1648044614433396E-2</v>
      </c>
      <c r="S98" s="2">
        <f t="shared" ref="S98:S129" si="14">AVERAGEIF(B98:Q98, "&lt;&gt;NA")</f>
        <v>0.28418435713127888</v>
      </c>
      <c r="T98" s="5">
        <f t="shared" si="9"/>
        <v>-8.0735332591353584E-2</v>
      </c>
      <c r="U98" s="2" cm="1">
        <f t="array" ref="U98">SUMPRODUCT(B$2:Q$2, B98:Q98, --ISNUMBER(B98:Q98)) /
 SUMPRODUCT(B$2:Q$2, --ISNUMBER(B98:Q98))</f>
        <v>0.26524702256881721</v>
      </c>
      <c r="V98" s="2">
        <f t="shared" si="11"/>
        <v>-0.11323194509602015</v>
      </c>
      <c r="W98" s="11">
        <v>-8.8720304140084796</v>
      </c>
      <c r="X98" s="2">
        <f t="shared" si="12"/>
        <v>-8.8720304140084791E-2</v>
      </c>
      <c r="AA98" s="2">
        <f t="shared" si="13"/>
        <v>0.13149015971450687</v>
      </c>
      <c r="AD98" s="2">
        <f t="shared" si="10"/>
        <v>-0.11323194509602015</v>
      </c>
    </row>
    <row r="99" spans="1:30" x14ac:dyDescent="0.3">
      <c r="A99" s="2">
        <v>1995</v>
      </c>
      <c r="B99">
        <v>0.37303847487096797</v>
      </c>
      <c r="C99">
        <v>0.239259999205574</v>
      </c>
      <c r="D99">
        <v>8.4391259451612896E-2</v>
      </c>
      <c r="E99">
        <v>0.227657994451613</v>
      </c>
      <c r="F99">
        <v>0.33990272658064502</v>
      </c>
      <c r="G99">
        <v>0.540574762806452</v>
      </c>
      <c r="H99">
        <v>0.54007800283870999</v>
      </c>
      <c r="I99">
        <v>0.109887871275055</v>
      </c>
      <c r="J99">
        <v>0.27949089735072002</v>
      </c>
      <c r="K99">
        <v>0.21355273229601501</v>
      </c>
      <c r="L99">
        <v>0.36141562514498599</v>
      </c>
      <c r="M99">
        <v>0.30343716584507502</v>
      </c>
      <c r="N99" s="2" t="s">
        <v>27</v>
      </c>
      <c r="O99">
        <v>0.29839904560368602</v>
      </c>
      <c r="P99">
        <v>0.252061600057992</v>
      </c>
      <c r="Q99">
        <v>6.3295623775423304E-2</v>
      </c>
      <c r="S99" s="2">
        <f t="shared" si="14"/>
        <v>0.28176291877030185</v>
      </c>
      <c r="T99" s="5">
        <f t="shared" si="9"/>
        <v>-8.8568074519952453E-2</v>
      </c>
      <c r="U99" s="2" cm="1">
        <f t="array" ref="U99">SUMPRODUCT(B$2:Q$2, B99:Q99, --ISNUMBER(B99:Q99)) /
 SUMPRODUCT(B$2:Q$2, --ISNUMBER(B99:Q99))</f>
        <v>0.25329050917208534</v>
      </c>
      <c r="V99" s="2">
        <f t="shared" si="11"/>
        <v>-0.15320469964598871</v>
      </c>
      <c r="W99" s="11">
        <v>-9.6109387410228493</v>
      </c>
      <c r="X99" s="2">
        <f t="shared" si="12"/>
        <v>-9.6109387410228495E-2</v>
      </c>
      <c r="AA99" s="2">
        <f t="shared" si="13"/>
        <v>0.14117141778602699</v>
      </c>
      <c r="AD99" s="2">
        <f t="shared" si="10"/>
        <v>-0.15320469964598871</v>
      </c>
    </row>
    <row r="100" spans="1:30" x14ac:dyDescent="0.3">
      <c r="A100" s="2">
        <v>1996</v>
      </c>
      <c r="B100">
        <v>0.41822487787096801</v>
      </c>
      <c r="C100">
        <v>0.27554987562828898</v>
      </c>
      <c r="D100">
        <v>0.16763563829032299</v>
      </c>
      <c r="E100">
        <v>0.33605624677419399</v>
      </c>
      <c r="F100">
        <v>0.49856536506451599</v>
      </c>
      <c r="G100">
        <v>0.55963269254838699</v>
      </c>
      <c r="H100">
        <v>0.63942151712903195</v>
      </c>
      <c r="I100">
        <v>0.25001900536813498</v>
      </c>
      <c r="J100">
        <v>0.37688358654769999</v>
      </c>
      <c r="K100">
        <v>0.297000783666034</v>
      </c>
      <c r="L100">
        <v>0.52339022734831697</v>
      </c>
      <c r="M100">
        <v>0.227665370683069</v>
      </c>
      <c r="N100" s="2" t="s">
        <v>27</v>
      </c>
      <c r="O100">
        <v>0.336168698101382</v>
      </c>
      <c r="P100">
        <v>0.235878225559985</v>
      </c>
      <c r="Q100">
        <v>9.1210428217925493E-2</v>
      </c>
      <c r="S100" s="2">
        <f t="shared" si="14"/>
        <v>0.34888683591988373</v>
      </c>
      <c r="T100" s="5">
        <f t="shared" si="9"/>
        <v>0.1285608554343852</v>
      </c>
      <c r="U100" s="2" cm="1">
        <f t="array" ref="U100">SUMPRODUCT(B$2:Q$2, B100:Q100, --ISNUMBER(B100:Q100)) /
 SUMPRODUCT(B$2:Q$2, --ISNUMBER(B100:Q100))</f>
        <v>0.31088454288483586</v>
      </c>
      <c r="V100" s="2">
        <f t="shared" si="11"/>
        <v>3.9342416453229563E-2</v>
      </c>
      <c r="W100" s="11">
        <v>11.859752037481201</v>
      </c>
      <c r="X100" s="2">
        <f t="shared" si="12"/>
        <v>0.11859752037481201</v>
      </c>
      <c r="AA100" s="2">
        <f t="shared" si="13"/>
        <v>0.15403091234097688</v>
      </c>
      <c r="AD100" s="2">
        <f t="shared" si="10"/>
        <v>3.9342416453229563E-2</v>
      </c>
    </row>
    <row r="101" spans="1:30" x14ac:dyDescent="0.3">
      <c r="A101" s="2">
        <v>1997</v>
      </c>
      <c r="B101">
        <v>0.45929713983871001</v>
      </c>
      <c r="C101">
        <v>0.32323308534650802</v>
      </c>
      <c r="D101">
        <v>0.19827645116129</v>
      </c>
      <c r="E101">
        <v>0.35736935867741898</v>
      </c>
      <c r="F101">
        <v>0.41972056796774199</v>
      </c>
      <c r="G101">
        <v>0.731029904290323</v>
      </c>
      <c r="H101">
        <v>0.65687041403225799</v>
      </c>
      <c r="I101">
        <v>0.26749021297217401</v>
      </c>
      <c r="J101">
        <v>0.471104483184625</v>
      </c>
      <c r="K101" s="2" t="s">
        <v>27</v>
      </c>
      <c r="L101">
        <v>0.69590671219284905</v>
      </c>
      <c r="M101">
        <v>0.25391426046205501</v>
      </c>
      <c r="N101" s="2" t="s">
        <v>27</v>
      </c>
      <c r="O101">
        <v>0.30309676357603599</v>
      </c>
      <c r="P101">
        <v>0.47685532253715102</v>
      </c>
      <c r="Q101">
        <v>0.13951272488171901</v>
      </c>
      <c r="S101" s="2">
        <f t="shared" si="14"/>
        <v>0.41097695722291849</v>
      </c>
      <c r="T101" s="5">
        <f t="shared" si="9"/>
        <v>0.3294067263513053</v>
      </c>
      <c r="U101" s="2" cm="1">
        <f t="array" ref="U101">SUMPRODUCT(B$2:Q$2, B101:Q101, --ISNUMBER(B101:Q101)) /
 SUMPRODUCT(B$2:Q$2, --ISNUMBER(B101:Q101))</f>
        <v>0.3936209959133905</v>
      </c>
      <c r="V101" s="2">
        <f t="shared" si="11"/>
        <v>0.31594511989262769</v>
      </c>
      <c r="W101" s="11">
        <v>31.749756689200701</v>
      </c>
      <c r="X101" s="2">
        <f t="shared" si="12"/>
        <v>0.31749756689200703</v>
      </c>
      <c r="AA101" s="2">
        <f t="shared" si="13"/>
        <v>0.18415114706109986</v>
      </c>
      <c r="AD101" s="2">
        <f t="shared" si="10"/>
        <v>0.31594511989262769</v>
      </c>
    </row>
    <row r="102" spans="1:30" x14ac:dyDescent="0.3">
      <c r="A102" s="2">
        <v>1998</v>
      </c>
      <c r="B102">
        <v>0.41411073700000001</v>
      </c>
      <c r="C102">
        <v>0.30002444344826001</v>
      </c>
      <c r="D102">
        <v>0.131241310516129</v>
      </c>
      <c r="E102">
        <v>0.26928882551612898</v>
      </c>
      <c r="F102">
        <v>0.56298372180645195</v>
      </c>
      <c r="G102">
        <v>0.61165401209677395</v>
      </c>
      <c r="H102">
        <v>0.64504767787096795</v>
      </c>
      <c r="I102">
        <v>0.30484244991873899</v>
      </c>
      <c r="J102">
        <v>0.416064553466026</v>
      </c>
      <c r="K102" s="2" t="s">
        <v>27</v>
      </c>
      <c r="L102">
        <v>0.60573087824851501</v>
      </c>
      <c r="M102">
        <v>0.22469049650811801</v>
      </c>
      <c r="N102" s="2" t="s">
        <v>27</v>
      </c>
      <c r="O102">
        <v>0.41978807800921603</v>
      </c>
      <c r="P102">
        <v>0.36068973025008999</v>
      </c>
      <c r="Q102">
        <v>0.101753569114083</v>
      </c>
      <c r="S102" s="2">
        <f t="shared" si="14"/>
        <v>0.38342217741210716</v>
      </c>
      <c r="T102" s="5">
        <f t="shared" ref="T102:T129" si="15">((S102-$V$1)/$V$1)</f>
        <v>0.24027396846835566</v>
      </c>
      <c r="U102" s="2" cm="1">
        <f t="array" ref="U102">SUMPRODUCT(B$2:Q$2, B102:Q102, --ISNUMBER(B102:Q102)) /
 SUMPRODUCT(B$2:Q$2, --ISNUMBER(B102:Q102))</f>
        <v>0.35803295190843137</v>
      </c>
      <c r="V102" s="2">
        <f t="shared" si="11"/>
        <v>0.19696794814350027</v>
      </c>
      <c r="W102" s="11">
        <v>22.928139966302101</v>
      </c>
      <c r="X102" s="2">
        <f t="shared" si="12"/>
        <v>0.22928139966302102</v>
      </c>
      <c r="AA102" s="2">
        <f t="shared" si="13"/>
        <v>0.17548444013880232</v>
      </c>
      <c r="AD102" s="2">
        <f t="shared" si="10"/>
        <v>0.19696794814350027</v>
      </c>
    </row>
    <row r="103" spans="1:30" x14ac:dyDescent="0.3">
      <c r="A103" s="2">
        <v>1999</v>
      </c>
      <c r="B103">
        <v>0.45998859183870999</v>
      </c>
      <c r="C103">
        <v>0.31521555450893102</v>
      </c>
      <c r="D103">
        <v>0.372411076354839</v>
      </c>
      <c r="E103">
        <v>0.34665425022580698</v>
      </c>
      <c r="F103">
        <v>0.538023018645161</v>
      </c>
      <c r="G103">
        <v>0.55808074377419403</v>
      </c>
      <c r="H103">
        <v>0.57705469048387104</v>
      </c>
      <c r="I103">
        <v>0.39039112163506501</v>
      </c>
      <c r="J103">
        <v>0.36289038407687002</v>
      </c>
      <c r="K103" s="2" t="s">
        <v>27</v>
      </c>
      <c r="L103">
        <v>0.59946273181320597</v>
      </c>
      <c r="M103">
        <v>0.29381257292611401</v>
      </c>
      <c r="N103" s="2" t="s">
        <v>27</v>
      </c>
      <c r="O103">
        <v>0.41020473334562202</v>
      </c>
      <c r="P103">
        <v>0.34428466569046701</v>
      </c>
      <c r="Q103">
        <v>0.121981688275317</v>
      </c>
      <c r="S103" s="2">
        <f t="shared" si="14"/>
        <v>0.40646113025672664</v>
      </c>
      <c r="T103" s="5">
        <f t="shared" si="15"/>
        <v>0.31479916590689394</v>
      </c>
      <c r="U103" s="2" cm="1">
        <f t="array" ref="U103">SUMPRODUCT(B$2:Q$2, B103:Q103, --ISNUMBER(B103:Q103)) /
 SUMPRODUCT(B$2:Q$2, --ISNUMBER(B103:Q103))</f>
        <v>0.36684988111609396</v>
      </c>
      <c r="V103" s="2">
        <f t="shared" si="11"/>
        <v>0.22644451337686322</v>
      </c>
      <c r="W103" s="11">
        <v>30.3251956238228</v>
      </c>
      <c r="X103" s="2">
        <f t="shared" si="12"/>
        <v>0.30325195623822798</v>
      </c>
      <c r="AA103" s="2">
        <f t="shared" si="13"/>
        <v>0.1307466324817427</v>
      </c>
      <c r="AD103" s="2">
        <f t="shared" si="10"/>
        <v>0.22644451337686322</v>
      </c>
    </row>
    <row r="104" spans="1:30" x14ac:dyDescent="0.3">
      <c r="A104" s="2">
        <v>2000</v>
      </c>
      <c r="B104">
        <v>0.50247833116129004</v>
      </c>
      <c r="C104">
        <v>0.29369481383964702</v>
      </c>
      <c r="D104">
        <v>0.18061449806451599</v>
      </c>
      <c r="E104">
        <v>0.153653483419355</v>
      </c>
      <c r="F104">
        <v>0.49423602293548402</v>
      </c>
      <c r="G104">
        <v>0.55093557212903199</v>
      </c>
      <c r="H104">
        <v>0.48282485480645199</v>
      </c>
      <c r="I104">
        <v>0.35424379555774399</v>
      </c>
      <c r="J104">
        <v>0.406735751818805</v>
      </c>
      <c r="K104" s="2" t="s">
        <v>27</v>
      </c>
      <c r="L104">
        <v>0.57296556733667103</v>
      </c>
      <c r="M104">
        <v>0.260563979206065</v>
      </c>
      <c r="N104" s="2" t="s">
        <v>27</v>
      </c>
      <c r="O104">
        <v>0.34030268991704998</v>
      </c>
      <c r="P104">
        <v>0.36091142031170698</v>
      </c>
      <c r="Q104">
        <v>0.10077281182141699</v>
      </c>
      <c r="S104" s="2">
        <f t="shared" si="14"/>
        <v>0.36106668516608814</v>
      </c>
      <c r="T104" s="5">
        <f t="shared" si="15"/>
        <v>0.16795959356136567</v>
      </c>
      <c r="U104" s="2" cm="1">
        <f t="array" ref="U104">SUMPRODUCT(B$2:Q$2, B104:Q104, --ISNUMBER(B104:Q104)) /
 SUMPRODUCT(B$2:Q$2, --ISNUMBER(B104:Q104))</f>
        <v>0.3391371657434803</v>
      </c>
      <c r="V104" s="2">
        <f t="shared" si="11"/>
        <v>0.13379596837498889</v>
      </c>
      <c r="W104" s="11">
        <v>15.7662825610438</v>
      </c>
      <c r="X104" s="2">
        <f t="shared" si="12"/>
        <v>0.15766282561043801</v>
      </c>
      <c r="AA104" s="2">
        <f t="shared" si="13"/>
        <v>0.15039613925561979</v>
      </c>
      <c r="AD104" s="2">
        <f t="shared" si="10"/>
        <v>0.13379596837498889</v>
      </c>
    </row>
    <row r="105" spans="1:30" x14ac:dyDescent="0.3">
      <c r="A105" s="2">
        <v>2001</v>
      </c>
      <c r="B105">
        <v>0.31566522654838702</v>
      </c>
      <c r="C105">
        <v>0.181871357420816</v>
      </c>
      <c r="D105">
        <v>0.104346972645161</v>
      </c>
      <c r="E105">
        <v>8.8226914419354902E-2</v>
      </c>
      <c r="F105">
        <v>0.29921819074193601</v>
      </c>
      <c r="G105">
        <v>0.420168376774194</v>
      </c>
      <c r="H105">
        <v>0.59482444548387103</v>
      </c>
      <c r="I105">
        <v>0.11633414442551</v>
      </c>
      <c r="J105">
        <v>0.31382088741249098</v>
      </c>
      <c r="K105">
        <v>0.240711068903225</v>
      </c>
      <c r="L105">
        <v>0.40073399823919797</v>
      </c>
      <c r="M105">
        <v>0.18339224325584699</v>
      </c>
      <c r="N105" s="2" t="s">
        <v>27</v>
      </c>
      <c r="O105">
        <v>0.27340718599078301</v>
      </c>
      <c r="P105">
        <v>0.28952722047118501</v>
      </c>
      <c r="Q105">
        <v>5.7619490944119597E-2</v>
      </c>
      <c r="S105" s="2">
        <f t="shared" si="14"/>
        <v>0.25865784824507188</v>
      </c>
      <c r="T105" s="5">
        <f t="shared" si="15"/>
        <v>-0.16330714596721438</v>
      </c>
      <c r="U105" s="2" cm="1">
        <f t="array" ref="U105">SUMPRODUCT(B$2:Q$2, B105:Q105, --ISNUMBER(B105:Q105)) /
 SUMPRODUCT(B$2:Q$2, --ISNUMBER(B105:Q105))</f>
        <v>0.24493850487815963</v>
      </c>
      <c r="V105" s="2">
        <f t="shared" si="11"/>
        <v>-0.18112693805811889</v>
      </c>
      <c r="W105" s="11">
        <v>-17.062281537449401</v>
      </c>
      <c r="X105" s="2">
        <f t="shared" si="12"/>
        <v>-0.170622815374494</v>
      </c>
      <c r="AA105" s="2">
        <f t="shared" si="13"/>
        <v>0.14486492219276059</v>
      </c>
      <c r="AD105" s="2">
        <f t="shared" si="10"/>
        <v>-0.18112693805811889</v>
      </c>
    </row>
    <row r="106" spans="1:30" x14ac:dyDescent="0.3">
      <c r="A106" s="2">
        <v>2002</v>
      </c>
      <c r="B106">
        <v>0.36235553799999998</v>
      </c>
      <c r="C106">
        <v>0.195880937621213</v>
      </c>
      <c r="D106">
        <v>0.14857831409677399</v>
      </c>
      <c r="E106">
        <v>8.6675273064516098E-2</v>
      </c>
      <c r="F106">
        <v>0.259887455677419</v>
      </c>
      <c r="G106">
        <v>0.39177392370967701</v>
      </c>
      <c r="H106">
        <v>0.51653725522580696</v>
      </c>
      <c r="I106">
        <v>7.1089741285397606E-2</v>
      </c>
      <c r="J106">
        <v>0.24534748332189399</v>
      </c>
      <c r="K106">
        <v>0.199126316739278</v>
      </c>
      <c r="L106">
        <v>0.368823434568533</v>
      </c>
      <c r="M106">
        <v>0.17009280576782701</v>
      </c>
      <c r="N106" s="2" t="s">
        <v>27</v>
      </c>
      <c r="O106">
        <v>0.193019836047926</v>
      </c>
      <c r="P106">
        <v>0.28784237600289903</v>
      </c>
      <c r="Q106">
        <v>5.1048417083258302E-2</v>
      </c>
      <c r="S106" s="2">
        <f t="shared" si="14"/>
        <v>0.23653860721416126</v>
      </c>
      <c r="T106" s="5">
        <f t="shared" si="15"/>
        <v>-0.23485730782295197</v>
      </c>
      <c r="U106" s="2" cm="1">
        <f t="array" ref="U106">SUMPRODUCT(B$2:Q$2, B106:Q106, --ISNUMBER(B106:Q106)) /
 SUMPRODUCT(B$2:Q$2, --ISNUMBER(B106:Q106))</f>
        <v>0.21307613418704885</v>
      </c>
      <c r="V106" s="2">
        <f t="shared" si="11"/>
        <v>-0.28764852012434311</v>
      </c>
      <c r="W106" s="11">
        <v>-24.1459573401191</v>
      </c>
      <c r="X106" s="2">
        <f t="shared" si="12"/>
        <v>-0.24145957340119101</v>
      </c>
      <c r="AA106" s="2">
        <f t="shared" si="13"/>
        <v>0.13104494518505455</v>
      </c>
      <c r="AD106" s="2">
        <f t="shared" si="10"/>
        <v>-0.28764852012434311</v>
      </c>
    </row>
    <row r="107" spans="1:30" x14ac:dyDescent="0.3">
      <c r="A107" s="2">
        <v>2003</v>
      </c>
      <c r="B107">
        <v>0.30665906132258097</v>
      </c>
      <c r="C107">
        <v>0.16739760438245399</v>
      </c>
      <c r="D107">
        <v>4.6257496709677402E-2</v>
      </c>
      <c r="E107">
        <v>0.160568534225806</v>
      </c>
      <c r="F107">
        <v>0.30343471622580598</v>
      </c>
      <c r="G107">
        <v>0.40449990280645198</v>
      </c>
      <c r="H107">
        <v>0.39151393800000001</v>
      </c>
      <c r="I107">
        <v>9.5489186387589201E-2</v>
      </c>
      <c r="J107">
        <v>0.25986309868496899</v>
      </c>
      <c r="K107">
        <v>0.18474632568956301</v>
      </c>
      <c r="L107">
        <v>0.39475076755094901</v>
      </c>
      <c r="M107">
        <v>0.16344308702381799</v>
      </c>
      <c r="N107" s="2" t="s">
        <v>27</v>
      </c>
      <c r="O107">
        <v>0.340490598635944</v>
      </c>
      <c r="P107">
        <v>0.282433138499456</v>
      </c>
      <c r="Q107">
        <v>5.2563687100427102E-2</v>
      </c>
      <c r="S107" s="2">
        <f t="shared" si="14"/>
        <v>0.23694074288303277</v>
      </c>
      <c r="T107" s="5">
        <f t="shared" si="15"/>
        <v>-0.23355650043288315</v>
      </c>
      <c r="U107" s="2" cm="1">
        <f t="array" ref="U107">SUMPRODUCT(B$2:Q$2, B107:Q107, --ISNUMBER(B107:Q107)) /
 SUMPRODUCT(B$2:Q$2, --ISNUMBER(B107:Q107))</f>
        <v>0.22969044917468515</v>
      </c>
      <c r="V107" s="2">
        <f t="shared" si="11"/>
        <v>-0.23210390498610584</v>
      </c>
      <c r="W107" s="11">
        <v>-24.041395648527399</v>
      </c>
      <c r="X107" s="2">
        <f t="shared" si="12"/>
        <v>-0.24041395648527397</v>
      </c>
      <c r="AA107" s="2">
        <f t="shared" si="13"/>
        <v>0.12207470575206338</v>
      </c>
      <c r="AD107" s="2">
        <f t="shared" si="10"/>
        <v>-0.23210390498610584</v>
      </c>
    </row>
    <row r="108" spans="1:30" x14ac:dyDescent="0.3">
      <c r="A108" s="2">
        <v>2004</v>
      </c>
      <c r="B108">
        <v>0.24209470983871001</v>
      </c>
      <c r="C108">
        <v>0.15300824640554</v>
      </c>
      <c r="D108">
        <v>1.6591531838709699E-2</v>
      </c>
      <c r="E108">
        <v>0.164760893612903</v>
      </c>
      <c r="F108">
        <v>0.364722408612903</v>
      </c>
      <c r="G108">
        <v>0.42051601322580601</v>
      </c>
      <c r="H108">
        <v>0.55087354667741895</v>
      </c>
      <c r="I108">
        <v>3.2936238610785498E-2</v>
      </c>
      <c r="J108">
        <v>0.38583923612903198</v>
      </c>
      <c r="K108">
        <v>0.15315444866185901</v>
      </c>
      <c r="L108">
        <v>0.33577320790963</v>
      </c>
      <c r="M108">
        <v>0.23816492659466401</v>
      </c>
      <c r="N108" s="2" t="s">
        <v>27</v>
      </c>
      <c r="O108">
        <v>0.242815646554838</v>
      </c>
      <c r="P108">
        <v>0.22024907621602</v>
      </c>
      <c r="Q108">
        <v>5.37822780365644E-2</v>
      </c>
      <c r="S108" s="2">
        <f t="shared" si="14"/>
        <v>0.23835216059502556</v>
      </c>
      <c r="T108" s="5">
        <f t="shared" si="15"/>
        <v>-0.22899092037532084</v>
      </c>
      <c r="U108" s="2" cm="1">
        <f t="array" ref="U108">SUMPRODUCT(B$2:Q$2, B108:Q108, --ISNUMBER(B108:Q108)) /
 SUMPRODUCT(B$2:Q$2, --ISNUMBER(B108:Q108))</f>
        <v>0.22367775702203765</v>
      </c>
      <c r="V108" s="2">
        <f t="shared" si="11"/>
        <v>-0.25220540612003961</v>
      </c>
      <c r="W108" s="11">
        <v>-23.5298140273519</v>
      </c>
      <c r="X108" s="2">
        <f t="shared" si="12"/>
        <v>-0.235298140273519</v>
      </c>
      <c r="AA108" s="2">
        <f t="shared" si="13"/>
        <v>0.15208670857737594</v>
      </c>
      <c r="AD108" s="2">
        <f t="shared" si="10"/>
        <v>-0.25220540612003961</v>
      </c>
    </row>
    <row r="109" spans="1:30" x14ac:dyDescent="0.3">
      <c r="A109" s="2">
        <v>2005</v>
      </c>
      <c r="B109">
        <v>0.36002188661290302</v>
      </c>
      <c r="C109">
        <v>0.21600915977660201</v>
      </c>
      <c r="D109">
        <v>9.69687108064516E-2</v>
      </c>
      <c r="E109">
        <v>0.208353233548387</v>
      </c>
      <c r="F109">
        <v>0.31975083693548401</v>
      </c>
      <c r="G109">
        <v>0.53070436916129005</v>
      </c>
      <c r="H109">
        <v>0.62727792290322604</v>
      </c>
      <c r="I109">
        <v>4.0725987380448102E-2</v>
      </c>
      <c r="J109">
        <v>0.40095189479752902</v>
      </c>
      <c r="K109">
        <v>0.19200015491157399</v>
      </c>
      <c r="L109">
        <v>0.35258323698614102</v>
      </c>
      <c r="M109">
        <v>0.23431508942707899</v>
      </c>
      <c r="N109" s="2" t="s">
        <v>27</v>
      </c>
      <c r="O109">
        <v>0.34293341198156602</v>
      </c>
      <c r="P109">
        <v>0.34701145344834999</v>
      </c>
      <c r="Q109">
        <v>7.9110335119660397E-2</v>
      </c>
      <c r="S109" s="2">
        <f t="shared" si="14"/>
        <v>0.28991451225311271</v>
      </c>
      <c r="T109" s="5">
        <f t="shared" si="15"/>
        <v>-6.2199727058923814E-2</v>
      </c>
      <c r="U109" s="2" cm="1">
        <f t="array" ref="U109">SUMPRODUCT(B$2:Q$2, B109:Q109, --ISNUMBER(B109:Q109)) /
 SUMPRODUCT(B$2:Q$2, --ISNUMBER(B109:Q109))</f>
        <v>0.26649822025685288</v>
      </c>
      <c r="V109" s="2">
        <f t="shared" si="11"/>
        <v>-0.10904896830188146</v>
      </c>
      <c r="W109" s="11">
        <v>-7.0263140104508501</v>
      </c>
      <c r="X109" s="2">
        <f t="shared" si="12"/>
        <v>-7.0263140104508501E-2</v>
      </c>
      <c r="AA109" s="2">
        <f t="shared" si="13"/>
        <v>0.16223461293351049</v>
      </c>
      <c r="AD109" s="2">
        <f t="shared" si="10"/>
        <v>-0.10904896830188146</v>
      </c>
    </row>
    <row r="110" spans="1:30" x14ac:dyDescent="0.3">
      <c r="A110" s="2">
        <v>2006</v>
      </c>
      <c r="B110">
        <v>0.40173374219354802</v>
      </c>
      <c r="C110">
        <v>0.26867167812026299</v>
      </c>
      <c r="D110">
        <v>0.12504815799999999</v>
      </c>
      <c r="E110">
        <v>0.23506488622580601</v>
      </c>
      <c r="F110">
        <v>0.38720114348387102</v>
      </c>
      <c r="G110">
        <v>0.56341944722580695</v>
      </c>
      <c r="H110">
        <v>0.63135549680645198</v>
      </c>
      <c r="I110">
        <v>9.6573606169908802E-2</v>
      </c>
      <c r="J110">
        <v>0.37957028142209998</v>
      </c>
      <c r="K110">
        <v>0.31172895851840599</v>
      </c>
      <c r="L110">
        <v>0.44902721736578499</v>
      </c>
      <c r="M110">
        <v>0.229135308510693</v>
      </c>
      <c r="N110" s="2" t="s">
        <v>27</v>
      </c>
      <c r="O110">
        <v>0.29971440663594401</v>
      </c>
      <c r="P110">
        <v>0.348363762824211</v>
      </c>
      <c r="Q110">
        <v>8.64782742808127E-2</v>
      </c>
      <c r="S110" s="2">
        <f t="shared" si="14"/>
        <v>0.32087242451890713</v>
      </c>
      <c r="T110" s="5">
        <f t="shared" si="15"/>
        <v>3.7941305367907338E-2</v>
      </c>
      <c r="U110" s="2" cm="1">
        <f t="array" ref="U110">SUMPRODUCT(B$2:Q$2, B110:Q110, --ISNUMBER(B110:Q110)) /
 SUMPRODUCT(B$2:Q$2, --ISNUMBER(B110:Q110))</f>
        <v>0.29870692239502644</v>
      </c>
      <c r="V110" s="2">
        <f t="shared" si="11"/>
        <v>-1.3695385030431789E-3</v>
      </c>
      <c r="W110" s="11">
        <v>2.882914282402</v>
      </c>
      <c r="X110" s="2">
        <f t="shared" si="12"/>
        <v>2.882914282402E-2</v>
      </c>
      <c r="AA110" s="2">
        <f t="shared" si="13"/>
        <v>0.15798378006859723</v>
      </c>
      <c r="AD110" s="2">
        <f t="shared" si="10"/>
        <v>-1.3695385030431789E-3</v>
      </c>
    </row>
    <row r="111" spans="1:30" x14ac:dyDescent="0.3">
      <c r="A111" s="2">
        <v>2007</v>
      </c>
      <c r="B111">
        <v>0.44367031954838698</v>
      </c>
      <c r="C111">
        <v>0.21934276470380501</v>
      </c>
      <c r="D111">
        <v>8.8753226483871003E-2</v>
      </c>
      <c r="E111">
        <v>0.156235648903226</v>
      </c>
      <c r="F111">
        <v>0.16283685777419399</v>
      </c>
      <c r="G111">
        <v>0.46024589932258098</v>
      </c>
      <c r="H111">
        <v>0.74020220932258096</v>
      </c>
      <c r="I111">
        <v>0.114526778121644</v>
      </c>
      <c r="J111">
        <v>0.33652719062182501</v>
      </c>
      <c r="K111">
        <v>0.263679593751802</v>
      </c>
      <c r="L111">
        <v>0.58521694446022998</v>
      </c>
      <c r="M111">
        <v>0.15696836087833399</v>
      </c>
      <c r="N111" s="2" t="s">
        <v>27</v>
      </c>
      <c r="O111">
        <v>0.33353797603686602</v>
      </c>
      <c r="P111">
        <v>0.21164750182529801</v>
      </c>
      <c r="Q111">
        <v>8.4467721830847706E-2</v>
      </c>
      <c r="S111" s="2">
        <f t="shared" si="14"/>
        <v>0.29052393290569944</v>
      </c>
      <c r="T111" s="5">
        <f t="shared" si="15"/>
        <v>-6.0228405065105163E-2</v>
      </c>
      <c r="U111" s="2" cm="1">
        <f t="array" ref="U111">SUMPRODUCT(B$2:Q$2, B111:Q111, --ISNUMBER(B111:Q111)) /
 SUMPRODUCT(B$2:Q$2, --ISNUMBER(B111:Q111))</f>
        <v>0.28168101406287721</v>
      </c>
      <c r="V111" s="2">
        <f t="shared" si="11"/>
        <v>-5.8290183524633638E-2</v>
      </c>
      <c r="W111" s="11">
        <v>-6.8785960085982696</v>
      </c>
      <c r="X111" s="2">
        <f t="shared" si="12"/>
        <v>-6.87859600859827E-2</v>
      </c>
      <c r="AA111" s="2">
        <f t="shared" si="13"/>
        <v>0.19339250668832592</v>
      </c>
      <c r="AD111" s="2">
        <f t="shared" si="10"/>
        <v>-5.8290183524633638E-2</v>
      </c>
    </row>
    <row r="112" spans="1:30" x14ac:dyDescent="0.3">
      <c r="A112" s="2">
        <v>2008</v>
      </c>
      <c r="B112">
        <v>0.34861292493548401</v>
      </c>
      <c r="C112">
        <v>0.18440320926426099</v>
      </c>
      <c r="D112">
        <v>8.2938544483871002E-2</v>
      </c>
      <c r="E112">
        <v>0.166939046903226</v>
      </c>
      <c r="F112">
        <v>0.29787849193548399</v>
      </c>
      <c r="G112">
        <v>0.41492899803225802</v>
      </c>
      <c r="H112">
        <v>0.53426467474193595</v>
      </c>
      <c r="I112">
        <v>0.101634231820733</v>
      </c>
      <c r="J112">
        <v>0.229861672587508</v>
      </c>
      <c r="K112">
        <v>0.220446771588614</v>
      </c>
      <c r="L112">
        <v>0.41113342300687</v>
      </c>
      <c r="M112">
        <v>0.22206560753021901</v>
      </c>
      <c r="N112" s="2" t="s">
        <v>27</v>
      </c>
      <c r="O112">
        <v>0.23394635502304101</v>
      </c>
      <c r="P112">
        <v>0.14334479384124599</v>
      </c>
      <c r="Q112">
        <v>5.6920701373095198E-2</v>
      </c>
      <c r="S112" s="2">
        <f t="shared" si="14"/>
        <v>0.24328796313785642</v>
      </c>
      <c r="T112" s="5">
        <f t="shared" si="15"/>
        <v>-0.21302484494199167</v>
      </c>
      <c r="U112" s="2" cm="1">
        <f t="array" ref="U112">SUMPRODUCT(B$2:Q$2, B112:Q112, --ISNUMBER(B112:Q112)) /
 SUMPRODUCT(B$2:Q$2, --ISNUMBER(B112:Q112))</f>
        <v>0.22307595804962027</v>
      </c>
      <c r="V112" s="2">
        <f t="shared" si="11"/>
        <v>-0.2542173273059799</v>
      </c>
      <c r="W112" s="11">
        <v>-21.963690507454299</v>
      </c>
      <c r="X112" s="2">
        <f t="shared" si="12"/>
        <v>-0.21963690507454298</v>
      </c>
      <c r="AA112" s="2">
        <f t="shared" si="13"/>
        <v>0.13559629760794104</v>
      </c>
      <c r="AD112" s="2">
        <f t="shared" si="10"/>
        <v>-0.2542173273059799</v>
      </c>
    </row>
    <row r="113" spans="1:30" x14ac:dyDescent="0.3">
      <c r="A113" s="2">
        <v>2009</v>
      </c>
      <c r="B113">
        <v>0.40168188325806398</v>
      </c>
      <c r="C113">
        <v>0.18680846851553401</v>
      </c>
      <c r="D113">
        <v>3.7751469612903203E-2</v>
      </c>
      <c r="E113">
        <v>0.195899115774194</v>
      </c>
      <c r="F113">
        <v>0.44039423496774199</v>
      </c>
      <c r="G113">
        <v>0.57217243787096805</v>
      </c>
      <c r="H113">
        <v>0.52458099377419398</v>
      </c>
      <c r="I113">
        <v>8.4789577868702296E-2</v>
      </c>
      <c r="J113">
        <v>0.375223059854495</v>
      </c>
      <c r="K113">
        <v>0.23726404925692501</v>
      </c>
      <c r="L113">
        <v>0.44945459098637403</v>
      </c>
      <c r="M113">
        <v>0.19004196199985601</v>
      </c>
      <c r="N113" s="2" t="s">
        <v>27</v>
      </c>
      <c r="O113">
        <v>0.301781402543778</v>
      </c>
      <c r="P113">
        <v>0.21563792293439599</v>
      </c>
      <c r="Q113">
        <v>7.3765207874631394E-2</v>
      </c>
      <c r="S113" s="2">
        <f t="shared" si="14"/>
        <v>0.28581642513951705</v>
      </c>
      <c r="T113" s="5">
        <f t="shared" si="15"/>
        <v>-7.5456004517400907E-2</v>
      </c>
      <c r="U113" s="2" cm="1">
        <f t="array" ref="U113">SUMPRODUCT(B$2:Q$2, B113:Q113, --ISNUMBER(B113:Q113)) /
 SUMPRODUCT(B$2:Q$2, --ISNUMBER(B113:Q113))</f>
        <v>0.26498609150018282</v>
      </c>
      <c r="V113" s="2">
        <f t="shared" si="11"/>
        <v>-0.1141042841479577</v>
      </c>
      <c r="W113" s="11">
        <v>-8.3659686934860407</v>
      </c>
      <c r="X113" s="2">
        <f t="shared" si="12"/>
        <v>-8.3659686934860408E-2</v>
      </c>
      <c r="AA113" s="2">
        <f t="shared" si="13"/>
        <v>0.16746210669167583</v>
      </c>
      <c r="AD113" s="2">
        <f t="shared" si="10"/>
        <v>-0.1141042841479577</v>
      </c>
    </row>
    <row r="114" spans="1:30" x14ac:dyDescent="0.3">
      <c r="A114" s="2">
        <v>2010</v>
      </c>
      <c r="B114">
        <v>0.37969370245161299</v>
      </c>
      <c r="C114">
        <v>0.23255059182044399</v>
      </c>
      <c r="D114">
        <v>0.17744146293548399</v>
      </c>
      <c r="E114">
        <v>0.174603569709677</v>
      </c>
      <c r="F114">
        <v>0.43631873029032298</v>
      </c>
      <c r="G114">
        <v>0.45992303864516099</v>
      </c>
      <c r="H114">
        <v>0.475076350258064</v>
      </c>
      <c r="I114">
        <v>9.6712170919871901E-2</v>
      </c>
      <c r="J114">
        <v>0.345091030533973</v>
      </c>
      <c r="K114">
        <v>0.25185295058823498</v>
      </c>
      <c r="L114">
        <v>0.44717526500989802</v>
      </c>
      <c r="M114">
        <v>0.17866744309562901</v>
      </c>
      <c r="N114" s="2" t="s">
        <v>27</v>
      </c>
      <c r="O114">
        <v>0.23883198171428499</v>
      </c>
      <c r="P114">
        <v>0.16646706726784999</v>
      </c>
      <c r="Q114">
        <v>6.9241464862210098E-2</v>
      </c>
      <c r="S114" s="2">
        <f t="shared" si="14"/>
        <v>0.27530978800684786</v>
      </c>
      <c r="T114" s="5">
        <f t="shared" si="15"/>
        <v>-0.10944232377453297</v>
      </c>
      <c r="U114" s="2" cm="1">
        <f t="array" ref="U114">SUMPRODUCT(B$2:Q$2, B114:Q114, --ISNUMBER(B114:Q114)) /
 SUMPRODUCT(B$2:Q$2, --ISNUMBER(B114:Q114))</f>
        <v>0.2483849745792806</v>
      </c>
      <c r="V114" s="2">
        <f t="shared" si="11"/>
        <v>-0.16960477579763347</v>
      </c>
      <c r="W114" s="11">
        <v>-11.7080513372929</v>
      </c>
      <c r="X114" s="2">
        <f t="shared" si="12"/>
        <v>-0.117080513372929</v>
      </c>
      <c r="AA114" s="2">
        <f t="shared" si="13"/>
        <v>0.13737141364037753</v>
      </c>
      <c r="AD114" s="2">
        <f t="shared" si="10"/>
        <v>-0.16960477579763347</v>
      </c>
    </row>
    <row r="115" spans="1:30" x14ac:dyDescent="0.3">
      <c r="A115" s="2">
        <v>2011</v>
      </c>
      <c r="B115">
        <v>0.46650552912903198</v>
      </c>
      <c r="C115">
        <v>0.34758106057430599</v>
      </c>
      <c r="D115">
        <v>0.20416376890322599</v>
      </c>
      <c r="E115">
        <v>0.30032165300000002</v>
      </c>
      <c r="F115">
        <v>0.37253496751612902</v>
      </c>
      <c r="G115">
        <v>0.82266045512903196</v>
      </c>
      <c r="H115">
        <v>0.71780897574193603</v>
      </c>
      <c r="I115">
        <v>9.6995324974144204E-2</v>
      </c>
      <c r="J115">
        <v>0.40716487669457702</v>
      </c>
      <c r="K115">
        <v>0.30325648598709598</v>
      </c>
      <c r="L115">
        <v>0.48521151724234302</v>
      </c>
      <c r="M115">
        <v>0.26842114687990798</v>
      </c>
      <c r="N115" s="2" t="s">
        <v>27</v>
      </c>
      <c r="O115">
        <v>0.337972621802764</v>
      </c>
      <c r="P115">
        <v>0.33936314632258002</v>
      </c>
      <c r="Q115">
        <v>0.118524518818669</v>
      </c>
      <c r="S115" s="2">
        <f t="shared" si="14"/>
        <v>0.37256573658104947</v>
      </c>
      <c r="T115" s="5">
        <f t="shared" si="15"/>
        <v>0.20515612253711862</v>
      </c>
      <c r="U115" s="2" cm="1">
        <f t="array" ref="U115">SUMPRODUCT(B$2:Q$2, B115:Q115, --ISNUMBER(B115:Q115)) /
 SUMPRODUCT(B$2:Q$2, --ISNUMBER(B115:Q115))</f>
        <v>0.33065606074507775</v>
      </c>
      <c r="V115" s="2">
        <f t="shared" si="11"/>
        <v>0.1054421233062149</v>
      </c>
      <c r="W115" s="11">
        <v>19.470233082794099</v>
      </c>
      <c r="X115" s="2">
        <f t="shared" si="12"/>
        <v>0.194702330827941</v>
      </c>
      <c r="AA115" s="2">
        <f t="shared" si="13"/>
        <v>0.19587106320810005</v>
      </c>
      <c r="AD115" s="2">
        <f t="shared" si="10"/>
        <v>0.1054421233062149</v>
      </c>
    </row>
    <row r="116" spans="1:30" x14ac:dyDescent="0.3">
      <c r="A116" s="2">
        <v>2012</v>
      </c>
      <c r="B116">
        <v>0.47512019993548399</v>
      </c>
      <c r="C116">
        <v>0.314076221179381</v>
      </c>
      <c r="D116">
        <v>8.0235730290322604E-2</v>
      </c>
      <c r="E116">
        <v>0.19023123322580601</v>
      </c>
      <c r="F116">
        <v>0.55506262154838704</v>
      </c>
      <c r="G116">
        <v>0.67540132748387105</v>
      </c>
      <c r="H116">
        <v>0.46880958716129001</v>
      </c>
      <c r="I116">
        <v>0.36267817164245197</v>
      </c>
      <c r="J116">
        <v>0.42572919197254599</v>
      </c>
      <c r="K116">
        <v>0.42838213853510398</v>
      </c>
      <c r="L116">
        <v>0.72625023925468701</v>
      </c>
      <c r="M116">
        <v>0.29223763953937398</v>
      </c>
      <c r="N116" s="2" t="s">
        <v>27</v>
      </c>
      <c r="O116">
        <v>0.36974798616774102</v>
      </c>
      <c r="P116">
        <v>0.19468821211163401</v>
      </c>
      <c r="Q116">
        <v>0.109207324538344</v>
      </c>
      <c r="S116" s="2">
        <f t="shared" si="14"/>
        <v>0.37785718830576165</v>
      </c>
      <c r="T116" s="5">
        <f t="shared" si="15"/>
        <v>0.22227263330825658</v>
      </c>
      <c r="U116" s="2" cm="1">
        <f t="array" ref="U116">SUMPRODUCT(B$2:Q$2, B116:Q116, --ISNUMBER(B116:Q116)) /
 SUMPRODUCT(B$2:Q$2, --ISNUMBER(B116:Q116))</f>
        <v>0.37411315718055582</v>
      </c>
      <c r="V116" s="2">
        <f t="shared" si="11"/>
        <v>0.25072693934167284</v>
      </c>
      <c r="W116" s="11">
        <v>21.130710778655299</v>
      </c>
      <c r="X116" s="2">
        <f t="shared" si="12"/>
        <v>0.21130710778655298</v>
      </c>
      <c r="AA116" s="2">
        <f t="shared" si="13"/>
        <v>0.18994161977846402</v>
      </c>
      <c r="AD116" s="2">
        <f t="shared" si="10"/>
        <v>0.25072693934167284</v>
      </c>
    </row>
    <row r="117" spans="1:30" x14ac:dyDescent="0.3">
      <c r="A117" s="2">
        <v>2013</v>
      </c>
      <c r="B117">
        <v>0.361790400290323</v>
      </c>
      <c r="C117">
        <v>0.20275913512923899</v>
      </c>
      <c r="D117">
        <v>1.7260545193548402E-2</v>
      </c>
      <c r="E117">
        <v>0.16522345838709701</v>
      </c>
      <c r="F117">
        <v>0.28076540500000002</v>
      </c>
      <c r="G117">
        <v>0.53126348348387098</v>
      </c>
      <c r="H117">
        <v>0.33745823177419398</v>
      </c>
      <c r="I117">
        <v>5.5486145528687497E-2</v>
      </c>
      <c r="J117">
        <v>0.289379427096774</v>
      </c>
      <c r="K117">
        <v>0.22653998813510401</v>
      </c>
      <c r="L117">
        <v>0.42466692099219699</v>
      </c>
      <c r="M117">
        <v>0.186542110029325</v>
      </c>
      <c r="N117" s="2" t="s">
        <v>27</v>
      </c>
      <c r="O117">
        <v>0.27051339171981498</v>
      </c>
      <c r="P117">
        <v>0.19677209869082901</v>
      </c>
      <c r="Q117">
        <v>3.9549037826751003E-2</v>
      </c>
      <c r="S117" s="2">
        <f t="shared" si="14"/>
        <v>0.23906465195185034</v>
      </c>
      <c r="T117" s="5">
        <f t="shared" si="15"/>
        <v>-0.22668619066825785</v>
      </c>
      <c r="U117" s="2" cm="1">
        <f t="array" ref="U117">SUMPRODUCT(B$2:Q$2, B117:Q117, --ISNUMBER(B117:Q117)) /
 SUMPRODUCT(B$2:Q$2, --ISNUMBER(B117:Q117))</f>
        <v>0.23164847287292481</v>
      </c>
      <c r="V117" s="2">
        <f t="shared" si="11"/>
        <v>-0.22555788290627871</v>
      </c>
      <c r="W117" s="11">
        <v>-23.315109941627501</v>
      </c>
      <c r="X117" s="2">
        <f t="shared" si="12"/>
        <v>-0.23315109941627501</v>
      </c>
      <c r="AA117" s="2">
        <f t="shared" si="13"/>
        <v>0.14243048055649743</v>
      </c>
      <c r="AD117" s="2">
        <f t="shared" si="10"/>
        <v>-0.22555788290627871</v>
      </c>
    </row>
    <row r="118" spans="1:30" x14ac:dyDescent="0.3">
      <c r="A118" s="2">
        <v>2014</v>
      </c>
      <c r="B118">
        <v>0.36934374209677401</v>
      </c>
      <c r="C118">
        <v>0.147649160003581</v>
      </c>
      <c r="D118">
        <v>3.3527128000000003E-2</v>
      </c>
      <c r="E118">
        <v>0.119411978387097</v>
      </c>
      <c r="F118">
        <v>0.25284613658064498</v>
      </c>
      <c r="G118">
        <v>0.37343406251612898</v>
      </c>
      <c r="H118">
        <v>0.37656283377419397</v>
      </c>
      <c r="I118">
        <v>6.3800030526471305E-2</v>
      </c>
      <c r="J118">
        <v>0.23079455275222999</v>
      </c>
      <c r="K118">
        <v>0.178049590551802</v>
      </c>
      <c r="L118">
        <v>0.32637098825666699</v>
      </c>
      <c r="M118">
        <v>0.209641133034833</v>
      </c>
      <c r="N118" s="2" t="s">
        <v>27</v>
      </c>
      <c r="O118">
        <v>0.275718463233179</v>
      </c>
      <c r="P118">
        <v>0.26288007506487798</v>
      </c>
      <c r="Q118">
        <v>5.5155338246296599E-2</v>
      </c>
      <c r="S118" s="2">
        <f t="shared" si="14"/>
        <v>0.21834568086831843</v>
      </c>
      <c r="T118" s="5">
        <f t="shared" si="15"/>
        <v>-0.29370683267127257</v>
      </c>
      <c r="U118" s="2" cm="1">
        <f t="array" ref="U118">SUMPRODUCT(B$2:Q$2, B118:Q118, --ISNUMBER(B118:Q118)) /
 SUMPRODUCT(B$2:Q$2, --ISNUMBER(B118:Q118))</f>
        <v>0.20996120251749767</v>
      </c>
      <c r="V118" s="2">
        <f t="shared" si="11"/>
        <v>-0.29806229167591652</v>
      </c>
      <c r="W118" s="11">
        <v>-29.9885468486356</v>
      </c>
      <c r="X118" s="2">
        <f t="shared" si="12"/>
        <v>-0.299885468486356</v>
      </c>
      <c r="AA118" s="2">
        <f t="shared" si="13"/>
        <v>0.11690469942007659</v>
      </c>
      <c r="AD118" s="2">
        <f t="shared" si="10"/>
        <v>-0.29806229167591652</v>
      </c>
    </row>
    <row r="119" spans="1:30" x14ac:dyDescent="0.3">
      <c r="A119" s="2">
        <v>2015</v>
      </c>
      <c r="B119" t="s">
        <v>27</v>
      </c>
      <c r="C119">
        <v>0.14385138223841301</v>
      </c>
      <c r="D119" t="s">
        <v>27</v>
      </c>
      <c r="E119" t="s">
        <v>27</v>
      </c>
      <c r="F119" t="s">
        <v>27</v>
      </c>
      <c r="G119" t="s">
        <v>27</v>
      </c>
      <c r="H119" t="s">
        <v>27</v>
      </c>
      <c r="I119">
        <v>8.1554392184781999E-2</v>
      </c>
      <c r="J119">
        <v>0.41804225941523598</v>
      </c>
      <c r="K119">
        <v>0.19235994484098601</v>
      </c>
      <c r="L119">
        <v>0.39717255140095398</v>
      </c>
      <c r="M119">
        <v>0.25104438184621902</v>
      </c>
      <c r="N119" s="2" t="s">
        <v>27</v>
      </c>
      <c r="O119">
        <v>0.36007068714469997</v>
      </c>
      <c r="P119">
        <v>0.18768280616455199</v>
      </c>
      <c r="Q119">
        <v>7.7700496511453193E-2</v>
      </c>
      <c r="S119" s="2">
        <f t="shared" si="14"/>
        <v>0.23438654463858835</v>
      </c>
      <c r="T119" s="5">
        <f t="shared" si="15"/>
        <v>-0.24181868707600754</v>
      </c>
      <c r="U119" s="2" cm="1">
        <f t="array" ref="U119">SUMPRODUCT(B$2:Q$2, B119:Q119, --ISNUMBER(B119:Q119)) /
 SUMPRODUCT(B$2:Q$2, --ISNUMBER(B119:Q119))</f>
        <v>0.25082376948147084</v>
      </c>
      <c r="V119" s="2">
        <f t="shared" si="11"/>
        <v>-0.16145144992509183</v>
      </c>
      <c r="W119" s="11">
        <v>-22.8901344212479</v>
      </c>
      <c r="X119" s="2">
        <f t="shared" si="12"/>
        <v>-0.22890134421247901</v>
      </c>
      <c r="AA119" s="2">
        <f t="shared" si="13"/>
        <v>0.130554091852706</v>
      </c>
      <c r="AD119" s="2">
        <f t="shared" si="10"/>
        <v>-0.16145144992509183</v>
      </c>
    </row>
    <row r="120" spans="1:30" x14ac:dyDescent="0.3">
      <c r="A120" s="2">
        <v>2016</v>
      </c>
      <c r="B120" t="s">
        <v>27</v>
      </c>
      <c r="C120">
        <v>0.13140311067480701</v>
      </c>
      <c r="D120" t="s">
        <v>27</v>
      </c>
      <c r="E120" t="s">
        <v>27</v>
      </c>
      <c r="F120" t="s">
        <v>27</v>
      </c>
      <c r="G120" t="s">
        <v>27</v>
      </c>
      <c r="H120" t="s">
        <v>27</v>
      </c>
      <c r="I120">
        <v>8.2662910184486502E-2</v>
      </c>
      <c r="J120">
        <v>0.30001426097460498</v>
      </c>
      <c r="K120">
        <v>0.17262952935711501</v>
      </c>
      <c r="L120">
        <v>0.38078989594503299</v>
      </c>
      <c r="M120">
        <v>0.19544923329432801</v>
      </c>
      <c r="N120" s="2" t="s">
        <v>27</v>
      </c>
      <c r="O120">
        <v>0.29426505378801798</v>
      </c>
      <c r="P120">
        <v>0.18983319976223201</v>
      </c>
      <c r="Q120">
        <v>5.19065797143409E-2</v>
      </c>
      <c r="S120" s="2">
        <f t="shared" si="14"/>
        <v>0.19988375263277394</v>
      </c>
      <c r="T120" s="5">
        <f t="shared" si="15"/>
        <v>-0.35342651073690995</v>
      </c>
      <c r="U120" s="2" cm="1">
        <f t="array" ref="U120">SUMPRODUCT(B$2:Q$2, B120:Q120, --ISNUMBER(B120:Q120)) /
 SUMPRODUCT(B$2:Q$2, --ISNUMBER(B120:Q120))</f>
        <v>0.21246467688530116</v>
      </c>
      <c r="V120" s="2">
        <f t="shared" si="11"/>
        <v>-0.28969273082603703</v>
      </c>
      <c r="W120" s="11">
        <v>-32.335875250348799</v>
      </c>
      <c r="X120" s="2">
        <f t="shared" si="12"/>
        <v>-0.323358752503488</v>
      </c>
      <c r="AA120" s="2">
        <f t="shared" si="13"/>
        <v>0.10773347935413655</v>
      </c>
      <c r="AD120" s="2">
        <f t="shared" si="10"/>
        <v>-0.28969273082603703</v>
      </c>
    </row>
    <row r="121" spans="1:30" x14ac:dyDescent="0.3">
      <c r="A121" s="2">
        <v>2017</v>
      </c>
      <c r="B121" t="s">
        <v>27</v>
      </c>
      <c r="C121">
        <v>0.127056765010226</v>
      </c>
      <c r="D121" t="s">
        <v>27</v>
      </c>
      <c r="E121" t="s">
        <v>27</v>
      </c>
      <c r="F121" t="s">
        <v>27</v>
      </c>
      <c r="G121" t="s">
        <v>27</v>
      </c>
      <c r="H121" t="s">
        <v>27</v>
      </c>
      <c r="I121">
        <v>0.101658330038118</v>
      </c>
      <c r="J121">
        <v>0.39507474975978002</v>
      </c>
      <c r="K121">
        <v>0.270260267622011</v>
      </c>
      <c r="L121">
        <v>0.52284888742890401</v>
      </c>
      <c r="M121">
        <v>0.24434216532265199</v>
      </c>
      <c r="N121" s="2" t="s">
        <v>27</v>
      </c>
      <c r="O121">
        <v>0.33832964836866303</v>
      </c>
      <c r="P121">
        <v>0.34885148095976798</v>
      </c>
      <c r="Q121">
        <v>8.5411700725038606E-2</v>
      </c>
      <c r="S121" s="2">
        <f t="shared" si="14"/>
        <v>0.27042599947057339</v>
      </c>
      <c r="T121" s="5">
        <f t="shared" si="15"/>
        <v>-0.1252401470249471</v>
      </c>
      <c r="U121" s="2" cm="1">
        <f t="array" ref="U121">SUMPRODUCT(B$2:Q$2, B121:Q121, --ISNUMBER(B121:Q121)) /
 SUMPRODUCT(B$2:Q$2, --ISNUMBER(B121:Q121))</f>
        <v>0.2957927269689512</v>
      </c>
      <c r="V121" s="2">
        <f t="shared" si="11"/>
        <v>-1.1112213027958348E-2</v>
      </c>
      <c r="W121" s="11">
        <v>-11.5796511880102</v>
      </c>
      <c r="X121" s="2">
        <f t="shared" si="12"/>
        <v>-0.115796511880102</v>
      </c>
      <c r="AA121" s="2">
        <f t="shared" si="13"/>
        <v>0.14746356975579789</v>
      </c>
      <c r="AD121" s="2">
        <f t="shared" si="10"/>
        <v>-1.1112213027958348E-2</v>
      </c>
    </row>
    <row r="122" spans="1:30" x14ac:dyDescent="0.3">
      <c r="A122" s="2">
        <v>2018</v>
      </c>
      <c r="B122" t="s">
        <v>27</v>
      </c>
      <c r="C122">
        <v>0.18415002407991601</v>
      </c>
      <c r="D122" t="s">
        <v>27</v>
      </c>
      <c r="E122" t="s">
        <v>27</v>
      </c>
      <c r="F122" t="s">
        <v>27</v>
      </c>
      <c r="G122" t="s">
        <v>27</v>
      </c>
      <c r="H122" t="s">
        <v>27</v>
      </c>
      <c r="I122">
        <v>0.31900015263235598</v>
      </c>
      <c r="J122">
        <v>0.42154988883459099</v>
      </c>
      <c r="K122">
        <v>0.353162831034535</v>
      </c>
      <c r="L122">
        <v>0.60387892589262804</v>
      </c>
      <c r="M122">
        <v>0.232180179725055</v>
      </c>
      <c r="N122" s="2" t="s">
        <v>27</v>
      </c>
      <c r="O122">
        <v>0.28932305448110601</v>
      </c>
      <c r="P122">
        <v>0.26174945575063402</v>
      </c>
      <c r="Q122">
        <v>7.8865145796493993E-2</v>
      </c>
      <c r="S122" s="2">
        <f t="shared" si="14"/>
        <v>0.30487329535859053</v>
      </c>
      <c r="T122" s="5">
        <f t="shared" si="15"/>
        <v>-1.3811839297941797E-2</v>
      </c>
      <c r="U122" s="2" cm="1">
        <f t="array" ref="U122">SUMPRODUCT(B$2:Q$2, B122:Q122, --ISNUMBER(B122:Q122)) /
 SUMPRODUCT(B$2:Q$2, --ISNUMBER(B122:Q122))</f>
        <v>0.3177731116969934</v>
      </c>
      <c r="V122" s="2">
        <f t="shared" si="11"/>
        <v>6.2372129312850168E-2</v>
      </c>
      <c r="W122" s="11">
        <v>-18.250828192937401</v>
      </c>
      <c r="X122" s="2">
        <f t="shared" si="12"/>
        <v>-0.18250828192937402</v>
      </c>
      <c r="AA122" s="2">
        <f t="shared" si="13"/>
        <v>0.14941084231053633</v>
      </c>
      <c r="AD122" s="2">
        <f t="shared" si="10"/>
        <v>6.2372129312850168E-2</v>
      </c>
    </row>
    <row r="123" spans="1:30" x14ac:dyDescent="0.3">
      <c r="A123" s="2">
        <v>2019</v>
      </c>
      <c r="B123" t="s">
        <v>27</v>
      </c>
      <c r="C123">
        <v>0.118279678619616</v>
      </c>
      <c r="D123" t="s">
        <v>27</v>
      </c>
      <c r="E123" t="s">
        <v>27</v>
      </c>
      <c r="F123" t="s">
        <v>27</v>
      </c>
      <c r="G123" t="s">
        <v>27</v>
      </c>
      <c r="H123" t="s">
        <v>27</v>
      </c>
      <c r="I123">
        <v>0.111153027687761</v>
      </c>
      <c r="J123">
        <v>0.51282288415099497</v>
      </c>
      <c r="K123">
        <v>0.234083970525996</v>
      </c>
      <c r="L123">
        <v>0.40868314758215901</v>
      </c>
      <c r="M123">
        <v>0.181519822451612</v>
      </c>
      <c r="N123" s="2" t="s">
        <v>27</v>
      </c>
      <c r="O123">
        <v>0.24619800349493001</v>
      </c>
      <c r="P123">
        <v>0.21120412170206501</v>
      </c>
      <c r="Q123">
        <v>4.2924068860137402E-2</v>
      </c>
      <c r="S123" s="2">
        <f t="shared" si="14"/>
        <v>0.22965208056391903</v>
      </c>
      <c r="T123" s="5">
        <f t="shared" si="15"/>
        <v>-0.25713348338250713</v>
      </c>
      <c r="U123" s="2" cm="1">
        <f t="array" ref="U123">SUMPRODUCT(B$2:Q$2, B123:Q123, --ISNUMBER(B123:Q123)) /
 SUMPRODUCT(B$2:Q$2, --ISNUMBER(B123:Q123))</f>
        <v>0.24676507929261982</v>
      </c>
      <c r="V123" s="2">
        <f t="shared" si="11"/>
        <v>-0.17502037435398532</v>
      </c>
      <c r="W123" s="11">
        <v>1.9691505598563599</v>
      </c>
      <c r="X123" s="2">
        <f t="shared" si="12"/>
        <v>1.9691505598563599E-2</v>
      </c>
      <c r="AA123" s="2">
        <f t="shared" si="13"/>
        <v>0.14853512439634892</v>
      </c>
      <c r="AD123" s="2">
        <f t="shared" si="10"/>
        <v>-0.17502037435398532</v>
      </c>
    </row>
    <row r="124" spans="1:30" x14ac:dyDescent="0.3">
      <c r="A124" s="2">
        <v>2020</v>
      </c>
      <c r="B124" s="14">
        <v>0.15726774532006843</v>
      </c>
      <c r="C124">
        <v>0.20984832029088499</v>
      </c>
      <c r="D124" s="14">
        <v>4.7361549474747369E-2</v>
      </c>
      <c r="E124" s="14">
        <v>0.21589868173595991</v>
      </c>
      <c r="F124" s="14">
        <v>0.34920805318594739</v>
      </c>
      <c r="G124" s="14">
        <v>5.4745984348759269E-2</v>
      </c>
      <c r="H124" t="s">
        <v>27</v>
      </c>
      <c r="I124">
        <v>0.102640332396552</v>
      </c>
      <c r="J124">
        <v>0.38846995819354802</v>
      </c>
      <c r="K124">
        <v>0.29684990401821598</v>
      </c>
      <c r="L124">
        <v>0.45768865607639397</v>
      </c>
      <c r="M124">
        <v>0.22556545950075099</v>
      </c>
      <c r="N124" s="2" t="s">
        <v>27</v>
      </c>
      <c r="O124">
        <v>0.34218177710599001</v>
      </c>
      <c r="P124">
        <v>0.218519893735411</v>
      </c>
      <c r="Q124">
        <v>7.2637336988065695E-2</v>
      </c>
      <c r="S124" s="2">
        <f t="shared" si="14"/>
        <v>0.22420597516937821</v>
      </c>
      <c r="T124" s="5">
        <f t="shared" si="15"/>
        <v>-0.27475025974107464</v>
      </c>
      <c r="U124" s="2" cm="1">
        <f t="array" ref="U124">SUMPRODUCT(B$2:Q$2, B124:Q124, --ISNUMBER(B124:Q124)) /
 SUMPRODUCT(B$2:Q$2, --ISNUMBER(B124:Q124))</f>
        <v>0.26216360094443691</v>
      </c>
      <c r="V124" s="2">
        <f t="shared" si="11"/>
        <v>-0.12354037295251453</v>
      </c>
      <c r="W124" s="11">
        <v>-17.504530433642699</v>
      </c>
      <c r="X124" s="2">
        <f t="shared" si="12"/>
        <v>-0.17504530433642698</v>
      </c>
      <c r="AA124" s="2">
        <f t="shared" si="13"/>
        <v>0.12974819543316288</v>
      </c>
      <c r="AD124" s="2">
        <f t="shared" si="10"/>
        <v>-0.12354037295251453</v>
      </c>
    </row>
    <row r="125" spans="1:30" x14ac:dyDescent="0.3">
      <c r="A125" s="2">
        <v>2021</v>
      </c>
      <c r="B125" s="14">
        <v>9.8426071900995213E-2</v>
      </c>
      <c r="C125">
        <v>0.13587604893156</v>
      </c>
      <c r="D125" s="14">
        <v>3.1402766499560753E-2</v>
      </c>
      <c r="E125" s="14">
        <v>4.668079605101836E-2</v>
      </c>
      <c r="F125" s="14">
        <v>0.34722404028824017</v>
      </c>
      <c r="G125" s="14">
        <v>8.7707234441091825E-2</v>
      </c>
      <c r="H125" s="14">
        <v>0.24664126875932693</v>
      </c>
      <c r="I125">
        <v>8.1958037325978797E-2</v>
      </c>
      <c r="J125">
        <v>0.30204793973369898</v>
      </c>
      <c r="K125">
        <v>0.22801396623301701</v>
      </c>
      <c r="L125">
        <v>0.37249884770560099</v>
      </c>
      <c r="M125">
        <v>0.158053314989199</v>
      </c>
      <c r="N125" s="2" t="s">
        <v>27</v>
      </c>
      <c r="O125">
        <v>0.23366449194469999</v>
      </c>
      <c r="P125">
        <v>0.19854561918376201</v>
      </c>
      <c r="Q125">
        <v>4.59239602290792E-2</v>
      </c>
      <c r="S125" s="2">
        <f t="shared" si="14"/>
        <v>0.17431096028112197</v>
      </c>
      <c r="T125" s="5">
        <f t="shared" si="15"/>
        <v>-0.43614803944157449</v>
      </c>
      <c r="U125" s="2" cm="1">
        <f t="array" ref="U125">SUMPRODUCT(B$2:Q$2, B125:Q125, --ISNUMBER(B125:Q125)) /
 SUMPRODUCT(B$2:Q$2, --ISNUMBER(B125:Q125))</f>
        <v>0.20013052999236658</v>
      </c>
      <c r="V125" s="2">
        <f t="shared" si="11"/>
        <v>-0.33092798143590907</v>
      </c>
      <c r="W125" s="11">
        <v>-42.852776019218801</v>
      </c>
      <c r="X125" s="2">
        <f t="shared" si="12"/>
        <v>-0.42852776019218802</v>
      </c>
      <c r="AA125" s="2">
        <f t="shared" si="13"/>
        <v>0.11162588171196849</v>
      </c>
      <c r="AD125" s="2">
        <f t="shared" si="10"/>
        <v>-0.33092798143590907</v>
      </c>
    </row>
    <row r="126" spans="1:30" x14ac:dyDescent="0.3">
      <c r="A126" s="2">
        <v>2022</v>
      </c>
      <c r="B126" s="14">
        <v>0.11500872531909767</v>
      </c>
      <c r="C126">
        <v>0.14102414767989899</v>
      </c>
      <c r="D126" s="14">
        <v>5.147994508124714E-2</v>
      </c>
      <c r="E126" s="14">
        <v>0.30214874631459931</v>
      </c>
      <c r="F126" s="14">
        <v>0.21826755857516728</v>
      </c>
      <c r="G126" s="14">
        <v>0.11138629341546866</v>
      </c>
      <c r="H126" s="15">
        <v>0.38561777226125671</v>
      </c>
      <c r="I126">
        <v>4.0364514119674904E-3</v>
      </c>
      <c r="J126">
        <v>0.339922874421413</v>
      </c>
      <c r="K126">
        <v>0.17583282034155501</v>
      </c>
      <c r="L126">
        <v>0.33088690284756</v>
      </c>
      <c r="M126">
        <v>0.21478591543151401</v>
      </c>
      <c r="N126" s="2" t="s">
        <v>27</v>
      </c>
      <c r="O126">
        <v>0.52824899055483798</v>
      </c>
      <c r="P126">
        <v>0.25201726204566799</v>
      </c>
      <c r="Q126">
        <v>4.7690549302493501E-2</v>
      </c>
      <c r="S126" s="2">
        <f t="shared" si="14"/>
        <v>0.21455699700024969</v>
      </c>
      <c r="T126" s="5">
        <f t="shared" si="15"/>
        <v>-0.30596226872360893</v>
      </c>
      <c r="U126" s="2" cm="1">
        <f t="array" ref="U126">SUMPRODUCT(B$2:Q$2, B126:Q126, --ISNUMBER(B126:Q126)) /
 SUMPRODUCT(B$2:Q$2, --ISNUMBER(B126:Q126))</f>
        <v>0.23819745710606199</v>
      </c>
      <c r="V126" s="2">
        <f t="shared" si="11"/>
        <v>-0.2036634617973323</v>
      </c>
      <c r="W126" s="11">
        <v>-28.081630240170899</v>
      </c>
      <c r="X126" s="2">
        <f t="shared" si="12"/>
        <v>-0.28081630240170896</v>
      </c>
      <c r="AA126" s="2">
        <f t="shared" si="13"/>
        <v>0.14447472422286897</v>
      </c>
      <c r="AD126" s="2">
        <f t="shared" si="10"/>
        <v>-0.2036634617973323</v>
      </c>
    </row>
    <row r="127" spans="1:30" x14ac:dyDescent="0.3">
      <c r="A127" s="2">
        <v>2023</v>
      </c>
      <c r="B127" s="14">
        <v>0.15512804810482941</v>
      </c>
      <c r="C127">
        <v>0.15461175257305501</v>
      </c>
      <c r="D127" s="14">
        <v>2.6769571442248511E-2</v>
      </c>
      <c r="E127" s="14">
        <v>0.15608891179559267</v>
      </c>
      <c r="F127" s="14">
        <v>0.28492411837955972</v>
      </c>
      <c r="G127" s="14">
        <v>0.48949350711831807</v>
      </c>
      <c r="H127" s="15">
        <v>0.39987060655892404</v>
      </c>
      <c r="I127">
        <v>6.1082956516325997E-2</v>
      </c>
      <c r="J127">
        <v>0.31725388641866797</v>
      </c>
      <c r="K127">
        <v>0.181775157240227</v>
      </c>
      <c r="L127">
        <v>0.324590264837545</v>
      </c>
      <c r="M127">
        <v>0.22637042545397301</v>
      </c>
      <c r="N127" s="2" t="s">
        <v>27</v>
      </c>
      <c r="O127">
        <v>0.32970463817142798</v>
      </c>
      <c r="P127">
        <v>0.255032246883653</v>
      </c>
      <c r="Q127">
        <v>6.6006191743028603E-2</v>
      </c>
      <c r="S127" s="2">
        <f t="shared" si="14"/>
        <v>0.22858015221582509</v>
      </c>
      <c r="T127" s="5">
        <f t="shared" si="15"/>
        <v>-0.26060090103470845</v>
      </c>
      <c r="U127" s="2" cm="1">
        <f t="array" ref="U127">SUMPRODUCT(B$2:Q$2, B127:Q127, --ISNUMBER(B127:Q127)) /
 SUMPRODUCT(B$2:Q$2, --ISNUMBER(B127:Q127))</f>
        <v>0.23052026803629039</v>
      </c>
      <c r="V127" s="2">
        <f t="shared" si="11"/>
        <v>-0.22932967268482751</v>
      </c>
      <c r="W127" s="11">
        <v>-10</v>
      </c>
      <c r="X127" s="2">
        <f>W127/100</f>
        <v>-0.1</v>
      </c>
      <c r="AA127" s="2">
        <f t="shared" si="13"/>
        <v>0.1315098879242067</v>
      </c>
      <c r="AD127" s="2">
        <f t="shared" si="10"/>
        <v>-0.22932967268482751</v>
      </c>
    </row>
    <row r="128" spans="1:30" x14ac:dyDescent="0.3">
      <c r="A128" s="2">
        <v>2024</v>
      </c>
      <c r="B128" s="15">
        <v>0.10442197377347479</v>
      </c>
      <c r="C128">
        <v>0.20756965363178501</v>
      </c>
      <c r="D128" s="15">
        <v>7.9049144880691521E-2</v>
      </c>
      <c r="E128" s="15">
        <v>0.27335060456425353</v>
      </c>
      <c r="F128" s="15">
        <v>0.42532375313295229</v>
      </c>
      <c r="G128" s="15">
        <v>0.47566901049387972</v>
      </c>
      <c r="H128" s="15">
        <v>3.7789167378264467E-2</v>
      </c>
      <c r="I128">
        <v>0.215197081246983</v>
      </c>
      <c r="J128">
        <v>0.33837429334797497</v>
      </c>
      <c r="K128">
        <v>0.30632050345047401</v>
      </c>
      <c r="L128">
        <v>0.49333161603353898</v>
      </c>
      <c r="M128">
        <v>0.248454491388026</v>
      </c>
      <c r="N128" s="2" t="s">
        <v>27</v>
      </c>
      <c r="O128">
        <v>0.32765643313548298</v>
      </c>
      <c r="P128">
        <v>0.210849417603479</v>
      </c>
      <c r="Q128">
        <v>7.6744258151104E-2</v>
      </c>
      <c r="S128" s="2">
        <f t="shared" si="14"/>
        <v>0.25467342681415761</v>
      </c>
      <c r="T128" s="5">
        <f t="shared" si="15"/>
        <v>-0.17619574363134718</v>
      </c>
      <c r="U128" s="2" cm="1">
        <f t="array" ref="U128">SUMPRODUCT(B$2:Q$2, B128:Q128, --ISNUMBER(B128:Q128)) /
 SUMPRODUCT(B$2:Q$2, --ISNUMBER(B128:Q128))</f>
        <v>0.27981124222419707</v>
      </c>
      <c r="V128" s="2">
        <f t="shared" si="11"/>
        <v>-6.4541163914320979E-2</v>
      </c>
      <c r="X128" s="5"/>
      <c r="AA128" s="2">
        <f t="shared" si="13"/>
        <v>0.14345737290475463</v>
      </c>
      <c r="AD128" s="2">
        <f>V128</f>
        <v>-6.4541163914320979E-2</v>
      </c>
    </row>
    <row r="129" spans="1:30" x14ac:dyDescent="0.3">
      <c r="A129" s="2">
        <v>2025</v>
      </c>
      <c r="B129" s="15">
        <v>0.10100720482180175</v>
      </c>
      <c r="C129">
        <v>0.23760999999999999</v>
      </c>
      <c r="D129" s="15">
        <v>5.2595429398097485E-2</v>
      </c>
      <c r="E129" s="15">
        <v>0.16574396871259489</v>
      </c>
      <c r="F129" s="15">
        <v>0.40592269910685796</v>
      </c>
      <c r="G129" s="15">
        <v>0.158386594473054</v>
      </c>
      <c r="H129" s="15">
        <v>7.5726493062420229E-3</v>
      </c>
      <c r="I129">
        <v>0.18386</v>
      </c>
      <c r="J129">
        <v>0.33809</v>
      </c>
      <c r="K129">
        <v>0.27866000000000002</v>
      </c>
      <c r="L129">
        <v>0.48447000000000001</v>
      </c>
      <c r="M129">
        <v>0.21837000000000001</v>
      </c>
      <c r="N129" s="2" t="s">
        <v>27</v>
      </c>
      <c r="O129">
        <v>0.28604000000000002</v>
      </c>
      <c r="P129">
        <v>0.17476</v>
      </c>
      <c r="Q129">
        <v>6.4630000000000007E-2</v>
      </c>
      <c r="S129" s="2">
        <f t="shared" si="14"/>
        <v>0.21051456972124322</v>
      </c>
      <c r="T129" s="5">
        <f t="shared" si="15"/>
        <v>-0.31903850066568901</v>
      </c>
      <c r="U129" s="2" cm="1">
        <f t="array" ref="U129">SUMPRODUCT(B$2:Q$2, B129:Q129, --ISNUMBER(B129:Q129)) /
 SUMPRODUCT(B$2:Q$2, --ISNUMBER(B129:Q129))</f>
        <v>0.24637964866495307</v>
      </c>
      <c r="V129" s="2">
        <f t="shared" si="11"/>
        <v>-0.17630893761357022</v>
      </c>
      <c r="AA129" s="2">
        <f t="shared" si="13"/>
        <v>0.13276289339774294</v>
      </c>
      <c r="AD129" s="2">
        <v>-0.13483261599999999</v>
      </c>
    </row>
    <row r="132" spans="1:30" x14ac:dyDescent="0.3">
      <c r="B132" s="15"/>
      <c r="C132" s="2" t="s">
        <v>41</v>
      </c>
    </row>
  </sheetData>
  <mergeCells count="5">
    <mergeCell ref="B1:H1"/>
    <mergeCell ref="I1:N1"/>
    <mergeCell ref="O1:Q1"/>
    <mergeCell ref="S1:S4"/>
    <mergeCell ref="T1:T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BC70-CA0D-9447-8B3F-AD245E659844}">
  <dimension ref="A1:H17"/>
  <sheetViews>
    <sheetView zoomScale="117" workbookViewId="0">
      <selection activeCell="I11" sqref="I11"/>
    </sheetView>
  </sheetViews>
  <sheetFormatPr defaultColWidth="11.19921875" defaultRowHeight="15.6" x14ac:dyDescent="0.3"/>
  <sheetData>
    <row r="1" spans="1:8" x14ac:dyDescent="0.3">
      <c r="B1" s="32" t="s">
        <v>54</v>
      </c>
      <c r="C1" s="32"/>
      <c r="D1" s="32"/>
      <c r="E1" s="32"/>
      <c r="F1" s="32"/>
      <c r="G1" s="32"/>
      <c r="H1" s="32"/>
    </row>
    <row r="2" spans="1:8" x14ac:dyDescent="0.3">
      <c r="A2" t="s">
        <v>55</v>
      </c>
      <c r="B2" s="2" t="s">
        <v>0</v>
      </c>
      <c r="C2" s="2" t="s">
        <v>1</v>
      </c>
      <c r="D2" s="2" t="s">
        <v>2</v>
      </c>
      <c r="E2" s="2" t="s">
        <v>3</v>
      </c>
      <c r="F2" s="2" t="s">
        <v>4</v>
      </c>
      <c r="G2" s="2" t="s">
        <v>5</v>
      </c>
      <c r="H2" s="2" t="s">
        <v>6</v>
      </c>
    </row>
    <row r="3" spans="1:8" x14ac:dyDescent="0.3">
      <c r="A3">
        <v>2021</v>
      </c>
      <c r="B3" t="s">
        <v>27</v>
      </c>
      <c r="C3" s="2">
        <v>51.622659071999998</v>
      </c>
      <c r="D3" t="s">
        <v>27</v>
      </c>
      <c r="E3" t="s">
        <v>27</v>
      </c>
      <c r="F3" t="s">
        <v>27</v>
      </c>
      <c r="G3" t="s">
        <v>27</v>
      </c>
      <c r="H3">
        <v>266.66371310741295</v>
      </c>
    </row>
    <row r="4" spans="1:8" x14ac:dyDescent="0.3">
      <c r="A4" s="2">
        <v>2022</v>
      </c>
      <c r="B4">
        <v>144.81577737598491</v>
      </c>
      <c r="C4" s="2">
        <v>76.122390774417099</v>
      </c>
      <c r="D4">
        <v>30.130697056603132</v>
      </c>
      <c r="E4">
        <v>92.717178300301185</v>
      </c>
      <c r="F4">
        <v>130.68563129388093</v>
      </c>
      <c r="G4">
        <v>65.41501059272629</v>
      </c>
      <c r="H4">
        <v>495.81281048586874</v>
      </c>
    </row>
    <row r="5" spans="1:8" x14ac:dyDescent="0.3">
      <c r="A5" s="2">
        <v>2023</v>
      </c>
      <c r="B5" s="2">
        <v>196.38889935489118</v>
      </c>
      <c r="C5" s="2">
        <v>269.28640807700498</v>
      </c>
      <c r="D5" s="12">
        <v>223.72531599999999</v>
      </c>
      <c r="E5" s="2">
        <v>218.66598119928358</v>
      </c>
      <c r="F5" s="2">
        <v>307.05473841924555</v>
      </c>
      <c r="G5" s="2">
        <v>531.24853985279992</v>
      </c>
      <c r="H5">
        <v>808.34700269640371</v>
      </c>
    </row>
    <row r="6" spans="1:8" x14ac:dyDescent="0.3">
      <c r="A6" s="2">
        <v>2024</v>
      </c>
      <c r="B6" s="2">
        <v>202.44596143948255</v>
      </c>
      <c r="C6" s="2">
        <v>236.38761</v>
      </c>
      <c r="D6" s="12">
        <v>158.19827918829642</v>
      </c>
      <c r="E6" s="2">
        <v>192.22441791393527</v>
      </c>
      <c r="F6" s="2">
        <v>284.18067822853311</v>
      </c>
      <c r="G6" s="2">
        <v>354.15676759847258</v>
      </c>
      <c r="H6" s="2">
        <v>271.28241797078249</v>
      </c>
    </row>
    <row r="7" spans="1:8" x14ac:dyDescent="0.3">
      <c r="A7" s="26">
        <v>2025</v>
      </c>
      <c r="B7" s="26">
        <v>104.31967246163866</v>
      </c>
      <c r="C7" s="26">
        <v>95.696430000000007</v>
      </c>
      <c r="D7" s="26">
        <v>45.049588913146344</v>
      </c>
      <c r="E7" s="26">
        <v>67.24326874627873</v>
      </c>
      <c r="F7" s="26">
        <v>188.63017596081917</v>
      </c>
      <c r="G7" s="26">
        <v>218.36476157493559</v>
      </c>
      <c r="H7" s="27">
        <v>97.99346890851092</v>
      </c>
    </row>
    <row r="11" spans="1:8" x14ac:dyDescent="0.3">
      <c r="B11" s="2"/>
      <c r="C11" s="2"/>
      <c r="D11" s="2"/>
      <c r="E11" s="2"/>
      <c r="F11" s="2"/>
      <c r="G11" s="2"/>
      <c r="H11" s="2"/>
    </row>
    <row r="12" spans="1:8" x14ac:dyDescent="0.3">
      <c r="A12" s="2"/>
      <c r="C12" s="2"/>
    </row>
    <row r="13" spans="1:8" x14ac:dyDescent="0.3">
      <c r="A13" s="2"/>
      <c r="B13" s="2"/>
      <c r="C13" s="2"/>
      <c r="D13" s="12"/>
      <c r="E13" s="2"/>
      <c r="F13" s="2"/>
      <c r="G13" s="2"/>
    </row>
    <row r="14" spans="1:8" x14ac:dyDescent="0.3">
      <c r="A14" s="2"/>
      <c r="B14" s="2"/>
      <c r="C14" s="2"/>
      <c r="D14" s="12"/>
      <c r="E14" s="2"/>
      <c r="F14" s="2"/>
      <c r="G14" s="2"/>
      <c r="H14" s="2"/>
    </row>
    <row r="15" spans="1:8" x14ac:dyDescent="0.3">
      <c r="A15" s="2"/>
      <c r="B15" s="2"/>
      <c r="C15" s="2"/>
      <c r="D15" s="2"/>
      <c r="E15" s="2"/>
      <c r="F15" s="2"/>
      <c r="G15" s="2"/>
      <c r="H15" s="2"/>
    </row>
    <row r="17" customFormat="1" x14ac:dyDescent="0.3"/>
  </sheetData>
  <mergeCells count="1">
    <mergeCell ref="B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Precip</vt:lpstr>
      <vt:lpstr>Precip-2023 (PRISM+SNOTEL)</vt:lpstr>
      <vt:lpstr>Air Temp</vt:lpstr>
      <vt:lpstr>Headwater Streamflow</vt:lpstr>
      <vt:lpstr>Baseflow </vt:lpstr>
      <vt:lpstr>SLC Data Most Recent 5yrs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BAYLEE MADISON OLDS</dc:creator>
  <cp:lastModifiedBy>Jamison, Logan - FPAC-NRCS, UT</cp:lastModifiedBy>
  <dcterms:created xsi:type="dcterms:W3CDTF">2024-10-21T21:07:10Z</dcterms:created>
  <dcterms:modified xsi:type="dcterms:W3CDTF">2026-03-16T19:20:21Z</dcterms:modified>
</cp:coreProperties>
</file>